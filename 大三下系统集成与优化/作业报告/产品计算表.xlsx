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系统集成与优化报告\"/>
    </mc:Choice>
  </mc:AlternateContent>
  <xr:revisionPtr revIDLastSave="0" documentId="13_ncr:1_{ECF8853F-4089-4D6B-983B-D36E057D9916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heet1" sheetId="1" r:id="rId1"/>
    <sheet name="Sheet2" sheetId="2" r:id="rId2"/>
    <sheet name="Sheet3" sheetId="3" r:id="rId3"/>
    <sheet name="物料需求计划" sheetId="4" r:id="rId4"/>
    <sheet name="能力需求计划" sheetId="5" r:id="rId5"/>
    <sheet name="典型场景调度" sheetId="6" r:id="rId6"/>
  </sheets>
  <definedNames>
    <definedName name="_xlnm.Print_Area" localSheetId="5">典型场景调度!$A$1:$W$46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7" i="6" l="1"/>
  <c r="A36" i="6"/>
  <c r="A35" i="6"/>
  <c r="G20" i="6"/>
  <c r="H20" i="6" s="1"/>
  <c r="E20" i="6"/>
  <c r="F20" i="6" s="1"/>
  <c r="G19" i="6"/>
  <c r="H19" i="6" s="1"/>
  <c r="E19" i="6"/>
  <c r="F19" i="6" s="1"/>
  <c r="G18" i="6"/>
  <c r="H18" i="6" s="1"/>
  <c r="E18" i="6"/>
  <c r="F18" i="6" s="1"/>
  <c r="G17" i="6"/>
  <c r="H17" i="6" s="1"/>
  <c r="E17" i="6"/>
  <c r="F17" i="6" s="1"/>
  <c r="G16" i="6"/>
  <c r="H16" i="6" s="1"/>
  <c r="E16" i="6"/>
  <c r="F16" i="6" s="1"/>
  <c r="F11" i="6"/>
  <c r="I11" i="6" s="1"/>
  <c r="F10" i="6"/>
  <c r="I10" i="6" s="1"/>
  <c r="F9" i="6"/>
  <c r="P56" i="5"/>
  <c r="N56" i="5"/>
  <c r="M56" i="5"/>
  <c r="L56" i="5"/>
  <c r="K56" i="5"/>
  <c r="J56" i="5"/>
  <c r="I56" i="5"/>
  <c r="H56" i="5"/>
  <c r="G56" i="5"/>
  <c r="F56" i="5"/>
  <c r="E56" i="5"/>
  <c r="D56" i="5"/>
  <c r="C56" i="5"/>
  <c r="Q55" i="5"/>
  <c r="O55" i="5"/>
  <c r="Q54" i="5"/>
  <c r="O54" i="5"/>
  <c r="Q53" i="5"/>
  <c r="O53" i="5"/>
  <c r="Q52" i="5"/>
  <c r="O52" i="5"/>
  <c r="Q51" i="5"/>
  <c r="O51" i="5"/>
  <c r="P46" i="5"/>
  <c r="P45" i="5"/>
  <c r="P44" i="5"/>
  <c r="P43" i="5"/>
  <c r="P42" i="5"/>
  <c r="G29" i="5"/>
  <c r="F29" i="5"/>
  <c r="I19" i="5"/>
  <c r="H19" i="5"/>
  <c r="E19" i="5"/>
  <c r="V91" i="4"/>
  <c r="V84" i="4"/>
  <c r="V77" i="4"/>
  <c r="V70" i="4"/>
  <c r="V85" i="4" s="1"/>
  <c r="V63" i="4"/>
  <c r="V56" i="4"/>
  <c r="V49" i="4"/>
  <c r="V42" i="4"/>
  <c r="V36" i="4"/>
  <c r="V35" i="4"/>
  <c r="V43" i="4" s="1"/>
  <c r="V29" i="4"/>
  <c r="V27" i="4"/>
  <c r="V71" i="4" s="1"/>
  <c r="V21" i="4"/>
  <c r="G25" i="3"/>
  <c r="R19" i="3"/>
  <c r="Q19" i="3"/>
  <c r="P19" i="3"/>
  <c r="O19" i="3"/>
  <c r="N19" i="3"/>
  <c r="M19" i="3"/>
  <c r="L19" i="3"/>
  <c r="K19" i="3"/>
  <c r="J19" i="3"/>
  <c r="I19" i="3"/>
  <c r="H19" i="3"/>
  <c r="G19" i="3"/>
  <c r="G21" i="3" s="1"/>
  <c r="G22" i="3" s="1"/>
  <c r="G23" i="3" s="1"/>
  <c r="K18" i="4" s="1"/>
  <c r="J19" i="4" s="1"/>
  <c r="J29" i="4" s="1"/>
  <c r="J31" i="4" s="1"/>
  <c r="P34" i="2"/>
  <c r="P33" i="2"/>
  <c r="P32" i="2"/>
  <c r="K21" i="2"/>
  <c r="L21" i="2" s="1"/>
  <c r="G16" i="2"/>
  <c r="H16" i="2" s="1"/>
  <c r="I16" i="2" s="1"/>
  <c r="J16" i="2" s="1"/>
  <c r="K16" i="2" s="1"/>
  <c r="L16" i="2" s="1"/>
  <c r="M16" i="2" s="1"/>
  <c r="G20" i="2" s="1"/>
  <c r="H20" i="2" s="1"/>
  <c r="I20" i="2" s="1"/>
  <c r="J20" i="2" s="1"/>
  <c r="K20" i="2" s="1"/>
  <c r="I29" i="5" l="1"/>
  <c r="F28" i="6"/>
  <c r="I20" i="6"/>
  <c r="B28" i="6"/>
  <c r="C28" i="6"/>
  <c r="I29" i="6"/>
  <c r="J29" i="6" s="1"/>
  <c r="O56" i="5"/>
  <c r="H29" i="5"/>
  <c r="I17" i="6"/>
  <c r="J32" i="4"/>
  <c r="J34" i="4" s="1"/>
  <c r="J33" i="4" s="1"/>
  <c r="I18" i="6"/>
  <c r="G24" i="3"/>
  <c r="H21" i="3" s="1"/>
  <c r="Q56" i="5"/>
  <c r="J21" i="4"/>
  <c r="J23" i="4" s="1"/>
  <c r="J36" i="4"/>
  <c r="J38" i="4" s="1"/>
  <c r="I19" i="6"/>
  <c r="F22" i="6"/>
  <c r="D22" i="6"/>
  <c r="B22" i="6"/>
  <c r="I16" i="6"/>
  <c r="V64" i="4"/>
  <c r="V78" i="4"/>
  <c r="V57" i="4"/>
  <c r="H28" i="6"/>
  <c r="V50" i="4"/>
  <c r="I9" i="6"/>
  <c r="B27" i="6"/>
  <c r="I28" i="6"/>
  <c r="J28" i="6" s="1"/>
  <c r="C27" i="6"/>
  <c r="D27" i="6"/>
  <c r="B29" i="6"/>
  <c r="E27" i="6"/>
  <c r="C29" i="6"/>
  <c r="F27" i="6"/>
  <c r="D29" i="6"/>
  <c r="G27" i="6"/>
  <c r="E29" i="6"/>
  <c r="H27" i="6"/>
  <c r="F29" i="6"/>
  <c r="G28" i="6"/>
  <c r="I27" i="6"/>
  <c r="J27" i="6" s="1"/>
  <c r="G29" i="6"/>
  <c r="H29" i="6"/>
  <c r="D28" i="6"/>
  <c r="E28" i="6"/>
  <c r="J39" i="4" l="1"/>
  <c r="J41" i="4" s="1"/>
  <c r="J40" i="4" s="1"/>
  <c r="H22" i="3"/>
  <c r="H23" i="3" s="1"/>
  <c r="H24" i="3" s="1"/>
  <c r="I21" i="3" s="1"/>
  <c r="J24" i="4"/>
  <c r="J26" i="4" s="1"/>
  <c r="J25" i="4" s="1"/>
  <c r="G11" i="6"/>
  <c r="H11" i="6" s="1"/>
  <c r="J11" i="6" s="1"/>
  <c r="K11" i="6" s="1"/>
  <c r="L11" i="6" s="1"/>
  <c r="G10" i="6"/>
  <c r="H10" i="6" s="1"/>
  <c r="J10" i="6" s="1"/>
  <c r="K10" i="6" s="1"/>
  <c r="L10" i="6" s="1"/>
  <c r="G9" i="6"/>
  <c r="H9" i="6" s="1"/>
  <c r="J9" i="6" s="1"/>
  <c r="I22" i="3" l="1"/>
  <c r="I23" i="3" s="1"/>
  <c r="M18" i="4" s="1"/>
  <c r="L19" i="4" s="1"/>
  <c r="H22" i="6"/>
  <c r="J22" i="6" s="1"/>
  <c r="K9" i="6"/>
  <c r="L9" i="6" s="1"/>
  <c r="L18" i="4"/>
  <c r="K19" i="4" s="1"/>
  <c r="H25" i="3"/>
  <c r="K21" i="4" l="1"/>
  <c r="K23" i="4" s="1"/>
  <c r="K36" i="4"/>
  <c r="K38" i="4" s="1"/>
  <c r="K29" i="4"/>
  <c r="K31" i="4" s="1"/>
  <c r="L29" i="4"/>
  <c r="L21" i="4"/>
  <c r="L36" i="4"/>
  <c r="I24" i="3"/>
  <c r="J21" i="3" s="1"/>
  <c r="K32" i="4" l="1"/>
  <c r="K34" i="4" s="1"/>
  <c r="J35" i="4" s="1"/>
  <c r="K39" i="4"/>
  <c r="K41" i="4" s="1"/>
  <c r="J42" i="4" s="1"/>
  <c r="J22" i="3"/>
  <c r="J23" i="3" s="1"/>
  <c r="N18" i="4" s="1"/>
  <c r="M19" i="4" s="1"/>
  <c r="K24" i="4"/>
  <c r="K26" i="4" s="1"/>
  <c r="J27" i="4" s="1"/>
  <c r="J78" i="4" l="1"/>
  <c r="J80" i="4" s="1"/>
  <c r="J57" i="4"/>
  <c r="J59" i="4" s="1"/>
  <c r="J64" i="4"/>
  <c r="J66" i="4" s="1"/>
  <c r="J71" i="4"/>
  <c r="J73" i="4" s="1"/>
  <c r="M21" i="4"/>
  <c r="M29" i="4"/>
  <c r="M36" i="4"/>
  <c r="J24" i="3"/>
  <c r="K21" i="3" s="1"/>
  <c r="K40" i="4"/>
  <c r="L38" i="4" s="1"/>
  <c r="K33" i="4"/>
  <c r="L31" i="4" s="1"/>
  <c r="K25" i="4"/>
  <c r="L23" i="4" s="1"/>
  <c r="J50" i="4"/>
  <c r="J52" i="4" s="1"/>
  <c r="J43" i="4"/>
  <c r="J45" i="4" s="1"/>
  <c r="L32" i="4" l="1"/>
  <c r="L34" i="4" s="1"/>
  <c r="K35" i="4" s="1"/>
  <c r="L24" i="4"/>
  <c r="L26" i="4" s="1"/>
  <c r="K27" i="4" s="1"/>
  <c r="J74" i="4"/>
  <c r="J76" i="4" s="1"/>
  <c r="J75" i="4" s="1"/>
  <c r="J46" i="4"/>
  <c r="J48" i="4" s="1"/>
  <c r="J47" i="4" s="1"/>
  <c r="L39" i="4"/>
  <c r="L41" i="4" s="1"/>
  <c r="K42" i="4" s="1"/>
  <c r="J60" i="4"/>
  <c r="J62" i="4" s="1"/>
  <c r="J61" i="4" s="1"/>
  <c r="J53" i="4"/>
  <c r="J55" i="4" s="1"/>
  <c r="J54" i="4" s="1"/>
  <c r="K22" i="3"/>
  <c r="K23" i="3" s="1"/>
  <c r="K24" i="3" s="1"/>
  <c r="L21" i="3" s="1"/>
  <c r="J67" i="4"/>
  <c r="J69" i="4" s="1"/>
  <c r="J68" i="4" s="1"/>
  <c r="J81" i="4"/>
  <c r="J83" i="4" s="1"/>
  <c r="J82" i="4" s="1"/>
  <c r="L22" i="3" l="1"/>
  <c r="L23" i="3" s="1"/>
  <c r="P18" i="4" s="1"/>
  <c r="O19" i="4" s="1"/>
  <c r="L25" i="4"/>
  <c r="M23" i="4" s="1"/>
  <c r="K57" i="4"/>
  <c r="K59" i="4" s="1"/>
  <c r="K64" i="4"/>
  <c r="K66" i="4" s="1"/>
  <c r="K71" i="4"/>
  <c r="K73" i="4" s="1"/>
  <c r="K78" i="4"/>
  <c r="K80" i="4" s="1"/>
  <c r="O18" i="4"/>
  <c r="N19" i="4" s="1"/>
  <c r="K25" i="3"/>
  <c r="L40" i="4"/>
  <c r="M38" i="4" s="1"/>
  <c r="L33" i="4"/>
  <c r="M31" i="4" s="1"/>
  <c r="K43" i="4"/>
  <c r="K45" i="4" s="1"/>
  <c r="K50" i="4"/>
  <c r="K52" i="4" s="1"/>
  <c r="K74" i="4" l="1"/>
  <c r="K76" i="4" s="1"/>
  <c r="J77" i="4" s="1"/>
  <c r="K81" i="4"/>
  <c r="K83" i="4" s="1"/>
  <c r="J84" i="4" s="1"/>
  <c r="K67" i="4"/>
  <c r="K69" i="4" s="1"/>
  <c r="J70" i="4" s="1"/>
  <c r="J85" i="4" s="1"/>
  <c r="J87" i="4" s="1"/>
  <c r="K60" i="4"/>
  <c r="K62" i="4" s="1"/>
  <c r="J63" i="4" s="1"/>
  <c r="N36" i="4"/>
  <c r="N21" i="4"/>
  <c r="N29" i="4"/>
  <c r="M24" i="4"/>
  <c r="M26" i="4" s="1"/>
  <c r="L27" i="4" s="1"/>
  <c r="K53" i="4"/>
  <c r="K55" i="4" s="1"/>
  <c r="J56" i="4" s="1"/>
  <c r="M39" i="4"/>
  <c r="M41" i="4" s="1"/>
  <c r="L42" i="4" s="1"/>
  <c r="K46" i="4"/>
  <c r="K48" i="4" s="1"/>
  <c r="J49" i="4" s="1"/>
  <c r="L24" i="3"/>
  <c r="M21" i="3" s="1"/>
  <c r="O21" i="4"/>
  <c r="O29" i="4"/>
  <c r="O36" i="4"/>
  <c r="M32" i="4"/>
  <c r="M34" i="4" s="1"/>
  <c r="L35" i="4" s="1"/>
  <c r="K54" i="4" l="1"/>
  <c r="J88" i="4"/>
  <c r="J90" i="4" s="1"/>
  <c r="J89" i="4" s="1"/>
  <c r="M33" i="4"/>
  <c r="N31" i="4" s="1"/>
  <c r="K61" i="4"/>
  <c r="L57" i="4"/>
  <c r="L78" i="4"/>
  <c r="L64" i="4"/>
  <c r="L71" i="4"/>
  <c r="M25" i="4"/>
  <c r="N23" i="4" s="1"/>
  <c r="K68" i="4"/>
  <c r="L66" i="4" s="1"/>
  <c r="L43" i="4"/>
  <c r="L50" i="4"/>
  <c r="M22" i="3"/>
  <c r="M23" i="3" s="1"/>
  <c r="M24" i="3" s="1"/>
  <c r="N21" i="3" s="1"/>
  <c r="K82" i="4"/>
  <c r="L80" i="4" s="1"/>
  <c r="K47" i="4"/>
  <c r="M40" i="4"/>
  <c r="N38" i="4" s="1"/>
  <c r="K75" i="4"/>
  <c r="N22" i="3" l="1"/>
  <c r="N23" i="3" s="1"/>
  <c r="R18" i="4" s="1"/>
  <c r="Q19" i="4" s="1"/>
  <c r="L81" i="4"/>
  <c r="L83" i="4" s="1"/>
  <c r="K84" i="4" s="1"/>
  <c r="N32" i="4"/>
  <c r="N34" i="4" s="1"/>
  <c r="M35" i="4" s="1"/>
  <c r="N24" i="4"/>
  <c r="N26" i="4" s="1"/>
  <c r="M27" i="4" s="1"/>
  <c r="L73" i="4"/>
  <c r="M25" i="3"/>
  <c r="Q18" i="4"/>
  <c r="P19" i="4" s="1"/>
  <c r="N39" i="4"/>
  <c r="N41" i="4" s="1"/>
  <c r="M42" i="4" s="1"/>
  <c r="L67" i="4"/>
  <c r="L69" i="4" s="1"/>
  <c r="K70" i="4" s="1"/>
  <c r="K85" i="4" s="1"/>
  <c r="K87" i="4" s="1"/>
  <c r="L59" i="4"/>
  <c r="L45" i="4"/>
  <c r="L52" i="4"/>
  <c r="K88" i="4" l="1"/>
  <c r="K90" i="4" s="1"/>
  <c r="J91" i="4" s="1"/>
  <c r="L68" i="4"/>
  <c r="P21" i="4"/>
  <c r="P29" i="4"/>
  <c r="P36" i="4"/>
  <c r="N40" i="4"/>
  <c r="O38" i="4" s="1"/>
  <c r="M57" i="4"/>
  <c r="M64" i="4"/>
  <c r="M71" i="4"/>
  <c r="M78" i="4"/>
  <c r="N25" i="4"/>
  <c r="O23" i="4" s="1"/>
  <c r="L82" i="4"/>
  <c r="M80" i="4" s="1"/>
  <c r="L53" i="4"/>
  <c r="L55" i="4" s="1"/>
  <c r="K56" i="4" s="1"/>
  <c r="N24" i="3"/>
  <c r="O21" i="3" s="1"/>
  <c r="L74" i="4"/>
  <c r="L76" i="4" s="1"/>
  <c r="K77" i="4" s="1"/>
  <c r="N33" i="4"/>
  <c r="O31" i="4" s="1"/>
  <c r="Q21" i="4"/>
  <c r="Q36" i="4"/>
  <c r="Q29" i="4"/>
  <c r="M50" i="4"/>
  <c r="M43" i="4"/>
  <c r="L46" i="4"/>
  <c r="L48" i="4" s="1"/>
  <c r="K49" i="4" s="1"/>
  <c r="L60" i="4"/>
  <c r="L62" i="4" s="1"/>
  <c r="K63" i="4" s="1"/>
  <c r="L75" i="4" l="1"/>
  <c r="M81" i="4"/>
  <c r="M83" i="4" s="1"/>
  <c r="L84" i="4" s="1"/>
  <c r="O22" i="3"/>
  <c r="O23" i="3" s="1"/>
  <c r="S18" i="4" s="1"/>
  <c r="R19" i="4" s="1"/>
  <c r="O24" i="4"/>
  <c r="O26" i="4" s="1"/>
  <c r="N27" i="4" s="1"/>
  <c r="L54" i="4"/>
  <c r="M52" i="4" s="1"/>
  <c r="L47" i="4"/>
  <c r="M45" i="4" s="1"/>
  <c r="O39" i="4"/>
  <c r="O41" i="4" s="1"/>
  <c r="N42" i="4" s="1"/>
  <c r="O32" i="4"/>
  <c r="O34" i="4" s="1"/>
  <c r="N35" i="4" s="1"/>
  <c r="M66" i="4"/>
  <c r="L61" i="4"/>
  <c r="M59" i="4" s="1"/>
  <c r="K89" i="4"/>
  <c r="M73" i="4"/>
  <c r="O24" i="3" l="1"/>
  <c r="P21" i="3" s="1"/>
  <c r="M60" i="4"/>
  <c r="M62" i="4" s="1"/>
  <c r="L63" i="4" s="1"/>
  <c r="N50" i="4"/>
  <c r="N43" i="4"/>
  <c r="O40" i="4"/>
  <c r="P38" i="4" s="1"/>
  <c r="N57" i="4"/>
  <c r="N64" i="4"/>
  <c r="N71" i="4"/>
  <c r="N78" i="4"/>
  <c r="O25" i="4"/>
  <c r="P23" i="4" s="1"/>
  <c r="M74" i="4"/>
  <c r="M76" i="4" s="1"/>
  <c r="L77" i="4" s="1"/>
  <c r="M53" i="4"/>
  <c r="M55" i="4" s="1"/>
  <c r="L56" i="4" s="1"/>
  <c r="R21" i="4"/>
  <c r="R29" i="4"/>
  <c r="R36" i="4"/>
  <c r="M67" i="4"/>
  <c r="M69" i="4" s="1"/>
  <c r="L70" i="4" s="1"/>
  <c r="L85" i="4" s="1"/>
  <c r="L87" i="4" s="1"/>
  <c r="O33" i="4"/>
  <c r="P31" i="4" s="1"/>
  <c r="M46" i="4"/>
  <c r="M48" i="4" s="1"/>
  <c r="L49" i="4" s="1"/>
  <c r="P22" i="3"/>
  <c r="P23" i="3" s="1"/>
  <c r="M82" i="4"/>
  <c r="N80" i="4" l="1"/>
  <c r="L88" i="4"/>
  <c r="L90" i="4" s="1"/>
  <c r="K91" i="4" s="1"/>
  <c r="M54" i="4"/>
  <c r="N52" i="4" s="1"/>
  <c r="M75" i="4"/>
  <c r="N73" i="4" s="1"/>
  <c r="N81" i="4"/>
  <c r="N83" i="4" s="1"/>
  <c r="M84" i="4" s="1"/>
  <c r="P39" i="4"/>
  <c r="P41" i="4" s="1"/>
  <c r="O42" i="4" s="1"/>
  <c r="M68" i="4"/>
  <c r="N66" i="4" s="1"/>
  <c r="P24" i="4"/>
  <c r="P26" i="4" s="1"/>
  <c r="O27" i="4" s="1"/>
  <c r="P25" i="3"/>
  <c r="T18" i="4"/>
  <c r="S19" i="4" s="1"/>
  <c r="P24" i="3"/>
  <c r="Q21" i="3" s="1"/>
  <c r="M47" i="4"/>
  <c r="N45" i="4" s="1"/>
  <c r="P32" i="4"/>
  <c r="P34" i="4" s="1"/>
  <c r="O35" i="4" s="1"/>
  <c r="M61" i="4"/>
  <c r="N59" i="4" s="1"/>
  <c r="L89" i="4" l="1"/>
  <c r="P33" i="4"/>
  <c r="Q31" i="4" s="1"/>
  <c r="O57" i="4"/>
  <c r="O64" i="4"/>
  <c r="O71" i="4"/>
  <c r="O78" i="4"/>
  <c r="Q32" i="4"/>
  <c r="Q34" i="4" s="1"/>
  <c r="P35" i="4" s="1"/>
  <c r="Q22" i="3"/>
  <c r="Q23" i="3" s="1"/>
  <c r="U18" i="4" s="1"/>
  <c r="T19" i="4" s="1"/>
  <c r="N53" i="4"/>
  <c r="N55" i="4" s="1"/>
  <c r="M56" i="4" s="1"/>
  <c r="N46" i="4"/>
  <c r="N48" i="4" s="1"/>
  <c r="M49" i="4" s="1"/>
  <c r="N60" i="4"/>
  <c r="N62" i="4" s="1"/>
  <c r="M63" i="4" s="1"/>
  <c r="S21" i="4"/>
  <c r="S29" i="4"/>
  <c r="S36" i="4"/>
  <c r="P25" i="4"/>
  <c r="Q23" i="4" s="1"/>
  <c r="N67" i="4"/>
  <c r="N69" i="4" s="1"/>
  <c r="M70" i="4" s="1"/>
  <c r="M85" i="4" s="1"/>
  <c r="M87" i="4" s="1"/>
  <c r="P40" i="4"/>
  <c r="Q38" i="4" s="1"/>
  <c r="N82" i="4"/>
  <c r="N74" i="4"/>
  <c r="N76" i="4" s="1"/>
  <c r="M77" i="4" s="1"/>
  <c r="O43" i="4"/>
  <c r="O50" i="4"/>
  <c r="O80" i="4" l="1"/>
  <c r="M88" i="4"/>
  <c r="M90" i="4" s="1"/>
  <c r="L91" i="4" s="1"/>
  <c r="M89" i="4"/>
  <c r="N47" i="4"/>
  <c r="O45" i="4" s="1"/>
  <c r="T29" i="4"/>
  <c r="T21" i="4"/>
  <c r="T36" i="4"/>
  <c r="N54" i="4"/>
  <c r="O52" i="4" s="1"/>
  <c r="Q24" i="3"/>
  <c r="R21" i="3" s="1"/>
  <c r="Q39" i="4"/>
  <c r="Q41" i="4" s="1"/>
  <c r="P42" i="4" s="1"/>
  <c r="Q24" i="4"/>
  <c r="Q26" i="4" s="1"/>
  <c r="P27" i="4" s="1"/>
  <c r="N61" i="4"/>
  <c r="O59" i="4" s="1"/>
  <c r="N75" i="4"/>
  <c r="O73" i="4" s="1"/>
  <c r="O81" i="4"/>
  <c r="O83" i="4" s="1"/>
  <c r="N84" i="4" s="1"/>
  <c r="Q33" i="4"/>
  <c r="R31" i="4" s="1"/>
  <c r="N68" i="4"/>
  <c r="O66" i="4" s="1"/>
  <c r="P43" i="4"/>
  <c r="P50" i="4"/>
  <c r="O60" i="4" l="1"/>
  <c r="O62" i="4" s="1"/>
  <c r="N63" i="4" s="1"/>
  <c r="O53" i="4"/>
  <c r="O55" i="4" s="1"/>
  <c r="N56" i="4" s="1"/>
  <c r="O46" i="4"/>
  <c r="O48" i="4" s="1"/>
  <c r="N49" i="4" s="1"/>
  <c r="P57" i="4"/>
  <c r="P71" i="4"/>
  <c r="P64" i="4"/>
  <c r="P78" i="4"/>
  <c r="Q40" i="4"/>
  <c r="R38" i="4" s="1"/>
  <c r="O82" i="4"/>
  <c r="P80" i="4" s="1"/>
  <c r="O74" i="4"/>
  <c r="O76" i="4" s="1"/>
  <c r="N77" i="4" s="1"/>
  <c r="Q25" i="4"/>
  <c r="R23" i="4" s="1"/>
  <c r="R22" i="3"/>
  <c r="R23" i="3" s="1"/>
  <c r="V18" i="4" s="1"/>
  <c r="U19" i="4" s="1"/>
  <c r="O67" i="4"/>
  <c r="O69" i="4" s="1"/>
  <c r="N70" i="4" s="1"/>
  <c r="N85" i="4" s="1"/>
  <c r="N87" i="4" s="1"/>
  <c r="R32" i="4"/>
  <c r="R34" i="4" s="1"/>
  <c r="Q35" i="4" s="1"/>
  <c r="P81" i="4" l="1"/>
  <c r="P83" i="4" s="1"/>
  <c r="O84" i="4" s="1"/>
  <c r="N88" i="4"/>
  <c r="N90" i="4" s="1"/>
  <c r="M91" i="4" s="1"/>
  <c r="Q43" i="4"/>
  <c r="Q50" i="4"/>
  <c r="O75" i="4"/>
  <c r="P73" i="4" s="1"/>
  <c r="R39" i="4"/>
  <c r="R41" i="4" s="1"/>
  <c r="Q42" i="4" s="1"/>
  <c r="R33" i="4"/>
  <c r="S31" i="4" s="1"/>
  <c r="O47" i="4"/>
  <c r="P45" i="4" s="1"/>
  <c r="O54" i="4"/>
  <c r="P52" i="4" s="1"/>
  <c r="O68" i="4"/>
  <c r="P66" i="4" s="1"/>
  <c r="R24" i="3"/>
  <c r="O61" i="4"/>
  <c r="P59" i="4" s="1"/>
  <c r="R24" i="4"/>
  <c r="R26" i="4" s="1"/>
  <c r="Q27" i="4" s="1"/>
  <c r="U21" i="4"/>
  <c r="U29" i="4"/>
  <c r="U36" i="4"/>
  <c r="R25" i="4" l="1"/>
  <c r="S23" i="4" s="1"/>
  <c r="P67" i="4"/>
  <c r="P69" i="4" s="1"/>
  <c r="O70" i="4" s="1"/>
  <c r="O85" i="4" s="1"/>
  <c r="P46" i="4"/>
  <c r="P48" i="4" s="1"/>
  <c r="O49" i="4" s="1"/>
  <c r="R40" i="4"/>
  <c r="S38" i="4" s="1"/>
  <c r="S24" i="4"/>
  <c r="S26" i="4" s="1"/>
  <c r="R27" i="4" s="1"/>
  <c r="P60" i="4"/>
  <c r="P62" i="4" s="1"/>
  <c r="O63" i="4" s="1"/>
  <c r="S32" i="4"/>
  <c r="S34" i="4" s="1"/>
  <c r="R35" i="4" s="1"/>
  <c r="P74" i="4"/>
  <c r="P76" i="4" s="1"/>
  <c r="O77" i="4" s="1"/>
  <c r="N89" i="4"/>
  <c r="O87" i="4" s="1"/>
  <c r="P82" i="4"/>
  <c r="P53" i="4"/>
  <c r="P55" i="4" s="1"/>
  <c r="O56" i="4" s="1"/>
  <c r="Q64" i="4"/>
  <c r="Q71" i="4"/>
  <c r="Q78" i="4"/>
  <c r="Q57" i="4"/>
  <c r="Q80" i="4" l="1"/>
  <c r="O88" i="4"/>
  <c r="O90" i="4" s="1"/>
  <c r="N91" i="4" s="1"/>
  <c r="R50" i="4"/>
  <c r="R43" i="4"/>
  <c r="R64" i="4"/>
  <c r="R78" i="4"/>
  <c r="R71" i="4"/>
  <c r="R57" i="4"/>
  <c r="S25" i="4"/>
  <c r="T23" i="4" s="1"/>
  <c r="P75" i="4"/>
  <c r="Q73" i="4" s="1"/>
  <c r="S33" i="4"/>
  <c r="T31" i="4" s="1"/>
  <c r="P61" i="4"/>
  <c r="Q59" i="4" s="1"/>
  <c r="S39" i="4"/>
  <c r="S41" i="4" s="1"/>
  <c r="R42" i="4" s="1"/>
  <c r="P47" i="4"/>
  <c r="Q45" i="4" s="1"/>
  <c r="P68" i="4"/>
  <c r="Q66" i="4" s="1"/>
  <c r="Q81" i="4"/>
  <c r="Q83" i="4" s="1"/>
  <c r="P84" i="4" s="1"/>
  <c r="P54" i="4"/>
  <c r="Q52" i="4" s="1"/>
  <c r="Q67" i="4" l="1"/>
  <c r="Q69" i="4" s="1"/>
  <c r="P70" i="4" s="1"/>
  <c r="P85" i="4" s="1"/>
  <c r="Q60" i="4"/>
  <c r="Q62" i="4" s="1"/>
  <c r="P63" i="4" s="1"/>
  <c r="Q46" i="4"/>
  <c r="Q48" i="4" s="1"/>
  <c r="P49" i="4" s="1"/>
  <c r="T24" i="4"/>
  <c r="T26" i="4" s="1"/>
  <c r="S27" i="4" s="1"/>
  <c r="T32" i="4"/>
  <c r="T34" i="4" s="1"/>
  <c r="S35" i="4" s="1"/>
  <c r="S40" i="4"/>
  <c r="T38" i="4" s="1"/>
  <c r="Q74" i="4"/>
  <c r="Q76" i="4" s="1"/>
  <c r="P77" i="4" s="1"/>
  <c r="Q53" i="4"/>
  <c r="Q55" i="4" s="1"/>
  <c r="P56" i="4" s="1"/>
  <c r="Q82" i="4"/>
  <c r="R80" i="4" s="1"/>
  <c r="O89" i="4"/>
  <c r="P87" i="4" s="1"/>
  <c r="Q54" i="4" l="1"/>
  <c r="R52" i="4" s="1"/>
  <c r="R53" i="4" s="1"/>
  <c r="R55" i="4" s="1"/>
  <c r="Q56" i="4" s="1"/>
  <c r="T33" i="4"/>
  <c r="U31" i="4" s="1"/>
  <c r="R81" i="4"/>
  <c r="R83" i="4" s="1"/>
  <c r="Q84" i="4" s="1"/>
  <c r="T39" i="4"/>
  <c r="T41" i="4" s="1"/>
  <c r="S42" i="4" s="1"/>
  <c r="Q61" i="4"/>
  <c r="R59" i="4" s="1"/>
  <c r="Q75" i="4"/>
  <c r="R73" i="4" s="1"/>
  <c r="S57" i="4"/>
  <c r="S71" i="4"/>
  <c r="S78" i="4"/>
  <c r="S64" i="4"/>
  <c r="Q47" i="4"/>
  <c r="R45" i="4" s="1"/>
  <c r="Q68" i="4"/>
  <c r="R66" i="4" s="1"/>
  <c r="S43" i="4"/>
  <c r="S50" i="4"/>
  <c r="T25" i="4"/>
  <c r="U23" i="4" s="1"/>
  <c r="P88" i="4"/>
  <c r="P90" i="4" s="1"/>
  <c r="O91" i="4" s="1"/>
  <c r="T40" i="4" l="1"/>
  <c r="U38" i="4" s="1"/>
  <c r="R54" i="4"/>
  <c r="S52" i="4" s="1"/>
  <c r="U39" i="4"/>
  <c r="U41" i="4" s="1"/>
  <c r="T42" i="4" s="1"/>
  <c r="R46" i="4"/>
  <c r="R48" i="4" s="1"/>
  <c r="Q49" i="4" s="1"/>
  <c r="R74" i="4"/>
  <c r="R76" i="4" s="1"/>
  <c r="Q77" i="4" s="1"/>
  <c r="P89" i="4"/>
  <c r="R67" i="4"/>
  <c r="R69" i="4" s="1"/>
  <c r="Q70" i="4" s="1"/>
  <c r="Q85" i="4" s="1"/>
  <c r="R82" i="4"/>
  <c r="S80" i="4" s="1"/>
  <c r="R60" i="4"/>
  <c r="R62" i="4" s="1"/>
  <c r="Q63" i="4" s="1"/>
  <c r="U32" i="4"/>
  <c r="U34" i="4" s="1"/>
  <c r="T35" i="4" s="1"/>
  <c r="U24" i="4"/>
  <c r="U26" i="4" s="1"/>
  <c r="T27" i="4" s="1"/>
  <c r="S53" i="4"/>
  <c r="S55" i="4" s="1"/>
  <c r="R56" i="4" s="1"/>
  <c r="U25" i="4" l="1"/>
  <c r="V23" i="4" s="1"/>
  <c r="R75" i="4"/>
  <c r="S73" i="4" s="1"/>
  <c r="T57" i="4"/>
  <c r="T71" i="4"/>
  <c r="T78" i="4"/>
  <c r="T64" i="4"/>
  <c r="S81" i="4"/>
  <c r="S83" i="4" s="1"/>
  <c r="R84" i="4" s="1"/>
  <c r="S74" i="4"/>
  <c r="S76" i="4" s="1"/>
  <c r="R77" i="4" s="1"/>
  <c r="V24" i="4"/>
  <c r="V26" i="4" s="1"/>
  <c r="U27" i="4" s="1"/>
  <c r="T43" i="4"/>
  <c r="T50" i="4"/>
  <c r="U33" i="4"/>
  <c r="V31" i="4" s="1"/>
  <c r="R61" i="4"/>
  <c r="S59" i="4" s="1"/>
  <c r="R68" i="4"/>
  <c r="S66" i="4" s="1"/>
  <c r="Q87" i="4"/>
  <c r="R47" i="4"/>
  <c r="S45" i="4" s="1"/>
  <c r="S54" i="4"/>
  <c r="U40" i="4"/>
  <c r="V38" i="4" s="1"/>
  <c r="U64" i="4" l="1"/>
  <c r="U78" i="4"/>
  <c r="U57" i="4"/>
  <c r="U71" i="4"/>
  <c r="Q88" i="4"/>
  <c r="Q90" i="4" s="1"/>
  <c r="P91" i="4" s="1"/>
  <c r="V32" i="4"/>
  <c r="V34" i="4" s="1"/>
  <c r="U35" i="4" s="1"/>
  <c r="S82" i="4"/>
  <c r="T80" i="4" s="1"/>
  <c r="S60" i="4"/>
  <c r="S62" i="4" s="1"/>
  <c r="R63" i="4" s="1"/>
  <c r="T52" i="4"/>
  <c r="S67" i="4"/>
  <c r="S69" i="4" s="1"/>
  <c r="R70" i="4" s="1"/>
  <c r="R85" i="4" s="1"/>
  <c r="V25" i="4"/>
  <c r="S75" i="4"/>
  <c r="T73" i="4" s="1"/>
  <c r="V39" i="4"/>
  <c r="V41" i="4" s="1"/>
  <c r="U42" i="4" s="1"/>
  <c r="S46" i="4"/>
  <c r="S48" i="4" s="1"/>
  <c r="R49" i="4" s="1"/>
  <c r="V40" i="4" l="1"/>
  <c r="U43" i="4"/>
  <c r="U50" i="4"/>
  <c r="T53" i="4"/>
  <c r="T55" i="4" s="1"/>
  <c r="S56" i="4" s="1"/>
  <c r="T74" i="4"/>
  <c r="T76" i="4" s="1"/>
  <c r="S77" i="4" s="1"/>
  <c r="S68" i="4"/>
  <c r="T66" i="4" s="1"/>
  <c r="S61" i="4"/>
  <c r="T59" i="4" s="1"/>
  <c r="T81" i="4"/>
  <c r="T83" i="4" s="1"/>
  <c r="S84" i="4" s="1"/>
  <c r="V33" i="4"/>
  <c r="Q89" i="4"/>
  <c r="R87" i="4" s="1"/>
  <c r="S47" i="4"/>
  <c r="T45" i="4" s="1"/>
  <c r="T67" i="4" l="1"/>
  <c r="T69" i="4" s="1"/>
  <c r="S70" i="4" s="1"/>
  <c r="S85" i="4" s="1"/>
  <c r="T75" i="4"/>
  <c r="U73" i="4" s="1"/>
  <c r="R88" i="4"/>
  <c r="R90" i="4" s="1"/>
  <c r="Q91" i="4" s="1"/>
  <c r="T82" i="4"/>
  <c r="U80" i="4" s="1"/>
  <c r="T60" i="4"/>
  <c r="T62" i="4" s="1"/>
  <c r="S63" i="4" s="1"/>
  <c r="T46" i="4"/>
  <c r="T48" i="4" s="1"/>
  <c r="S49" i="4" s="1"/>
  <c r="T54" i="4"/>
  <c r="U52" i="4" s="1"/>
  <c r="U53" i="4" l="1"/>
  <c r="U55" i="4" s="1"/>
  <c r="T56" i="4" s="1"/>
  <c r="T61" i="4"/>
  <c r="U59" i="4" s="1"/>
  <c r="U81" i="4"/>
  <c r="U83" i="4" s="1"/>
  <c r="T84" i="4" s="1"/>
  <c r="R89" i="4"/>
  <c r="S87" i="4" s="1"/>
  <c r="T47" i="4"/>
  <c r="U45" i="4" s="1"/>
  <c r="U74" i="4"/>
  <c r="U76" i="4" s="1"/>
  <c r="T77" i="4" s="1"/>
  <c r="T68" i="4"/>
  <c r="U66" i="4" s="1"/>
  <c r="U46" i="4" l="1"/>
  <c r="U48" i="4" s="1"/>
  <c r="T49" i="4" s="1"/>
  <c r="U82" i="4"/>
  <c r="V80" i="4" s="1"/>
  <c r="U67" i="4"/>
  <c r="U69" i="4" s="1"/>
  <c r="T70" i="4" s="1"/>
  <c r="T85" i="4" s="1"/>
  <c r="U75" i="4"/>
  <c r="V73" i="4" s="1"/>
  <c r="S88" i="4"/>
  <c r="S90" i="4" s="1"/>
  <c r="R91" i="4" s="1"/>
  <c r="U60" i="4"/>
  <c r="U62" i="4" s="1"/>
  <c r="T63" i="4" s="1"/>
  <c r="U54" i="4"/>
  <c r="V52" i="4" s="1"/>
  <c r="S89" i="4" l="1"/>
  <c r="T87" i="4" s="1"/>
  <c r="U68" i="4"/>
  <c r="V66" i="4" s="1"/>
  <c r="V53" i="4"/>
  <c r="V55" i="4" s="1"/>
  <c r="U56" i="4" s="1"/>
  <c r="U61" i="4"/>
  <c r="V59" i="4" s="1"/>
  <c r="V74" i="4"/>
  <c r="V76" i="4" s="1"/>
  <c r="U77" i="4" s="1"/>
  <c r="V81" i="4"/>
  <c r="V83" i="4" s="1"/>
  <c r="U84" i="4" s="1"/>
  <c r="U47" i="4"/>
  <c r="V45" i="4" s="1"/>
  <c r="V75" i="4" l="1"/>
  <c r="V46" i="4"/>
  <c r="V48" i="4" s="1"/>
  <c r="U49" i="4" s="1"/>
  <c r="V60" i="4"/>
  <c r="V62" i="4" s="1"/>
  <c r="U63" i="4" s="1"/>
  <c r="V82" i="4"/>
  <c r="V54" i="4"/>
  <c r="V67" i="4"/>
  <c r="V69" i="4" s="1"/>
  <c r="U70" i="4" s="1"/>
  <c r="U85" i="4" s="1"/>
  <c r="T88" i="4"/>
  <c r="T90" i="4" s="1"/>
  <c r="S91" i="4" s="1"/>
  <c r="T89" i="4" l="1"/>
  <c r="U87" i="4" s="1"/>
  <c r="V68" i="4"/>
  <c r="V61" i="4"/>
  <c r="V47" i="4"/>
  <c r="U88" i="4" l="1"/>
  <c r="U90" i="4" s="1"/>
  <c r="T91" i="4" s="1"/>
  <c r="U89" i="4" l="1"/>
  <c r="V87" i="4" s="1"/>
  <c r="V88" i="4" l="1"/>
  <c r="V90" i="4" s="1"/>
  <c r="U91" i="4" s="1"/>
  <c r="V89" i="4" l="1"/>
</calcChain>
</file>

<file path=xl/sharedStrings.xml><?xml version="1.0" encoding="utf-8"?>
<sst xmlns="http://schemas.openxmlformats.org/spreadsheetml/2006/main" count="521" uniqueCount="262">
  <si>
    <t>伊利纯牛奶（250ml × 24盒/箱）完整BOM清单</t>
  </si>
  <si>
    <t>层级</t>
  </si>
  <si>
    <t>物料名称</t>
  </si>
  <si>
    <t>规格/描述</t>
  </si>
  <si>
    <t>单位用量</t>
  </si>
  <si>
    <t>单位</t>
  </si>
  <si>
    <t>来源</t>
  </si>
  <si>
    <t>备注</t>
  </si>
  <si>
    <t>伊利纯牛奶</t>
  </si>
  <si>
    <t>250ml × 24盒 箱装</t>
  </si>
  <si>
    <t>箱</t>
  </si>
  <si>
    <t>自制</t>
  </si>
  <si>
    <t>250ml 利乐砖，单盒</t>
  </si>
  <si>
    <t>盒</t>
  </si>
  <si>
    <t>最小零售单元</t>
  </si>
  <si>
    <t>外纸箱</t>
  </si>
  <si>
    <t>B楞对口箱，可容纳24盒</t>
  </si>
  <si>
    <t>个</t>
  </si>
  <si>
    <t>外购</t>
  </si>
  <si>
    <t>由纸箱厂供应</t>
  </si>
  <si>
    <t>封箱胶带</t>
  </si>
  <si>
    <t>BOPP材质</t>
  </si>
  <si>
    <t>米</t>
  </si>
  <si>
    <t>用于封装纸箱</t>
  </si>
  <si>
    <t>塑料提手</t>
  </si>
  <si>
    <t>标准化纯牛奶</t>
  </si>
  <si>
    <t>乳蛋白≥3.2g/100ml</t>
  </si>
  <si>
    <t>升</t>
  </si>
  <si>
    <t>经过杀菌等处理</t>
  </si>
  <si>
    <t>利乐无菌砖包材卷</t>
  </si>
  <si>
    <t>6层复合，幅宽适配灌装机</t>
  </si>
  <si>
    <t>千克</t>
  </si>
  <si>
    <t>从利乐等采购</t>
  </si>
  <si>
    <t>吸管</t>
  </si>
  <si>
    <t>PP材质，长110mm直管</t>
  </si>
  <si>
    <t>支</t>
  </si>
  <si>
    <t>大批量采购</t>
  </si>
  <si>
    <t>热熔胶</t>
  </si>
  <si>
    <t>食品级，贴管用</t>
  </si>
  <si>
    <t>克</t>
  </si>
  <si>
    <t>用于将吸管粘附在包装盒上</t>
  </si>
  <si>
    <t>生牛乳</t>
  </si>
  <si>
    <t>蛋白质≥3.0%，脂肪≥3.6%</t>
  </si>
  <si>
    <t>内部供应</t>
  </si>
  <si>
    <t>伊利合作牧场供应</t>
  </si>
  <si>
    <t>月份</t>
  </si>
  <si>
    <t>销售预测</t>
  </si>
  <si>
    <t>预计库存（期初19000）</t>
  </si>
  <si>
    <t>生产计划大纲</t>
  </si>
  <si>
    <t>全年</t>
  </si>
  <si>
    <t>预计库存（期初20000）</t>
  </si>
  <si>
    <t>目标库存5000</t>
  </si>
  <si>
    <t>关键资源</t>
  </si>
  <si>
    <t>单位消耗</t>
  </si>
  <si>
    <t>生牛乳/L</t>
  </si>
  <si>
    <t>0.26L/盒×24盒</t>
  </si>
  <si>
    <t>利乐无菌砖/kg</t>
  </si>
  <si>
    <t>0.04kg/盒×24盒</t>
  </si>
  <si>
    <t>生产工时/h</t>
  </si>
  <si>
    <t>灌装+包装综合工时</t>
  </si>
  <si>
    <t>年度需求（106000箱）</t>
  </si>
  <si>
    <t>期初库存</t>
  </si>
  <si>
    <t>安全库存</t>
  </si>
  <si>
    <t>批量增量为</t>
  </si>
  <si>
    <t>时区</t>
  </si>
  <si>
    <t>需求时区</t>
  </si>
  <si>
    <t>计划时区</t>
  </si>
  <si>
    <t>预测时区</t>
  </si>
  <si>
    <t>时段（月）</t>
  </si>
  <si>
    <t>预测量</t>
  </si>
  <si>
    <t>订单量</t>
  </si>
  <si>
    <t>毛需求</t>
  </si>
  <si>
    <t>计划接收量</t>
  </si>
  <si>
    <t>PAB初值(19000)</t>
  </si>
  <si>
    <t>净需求</t>
  </si>
  <si>
    <t>计划产出量</t>
  </si>
  <si>
    <t>预计库存量</t>
  </si>
  <si>
    <t>可供销售ATP</t>
  </si>
  <si>
    <t>物料号</t>
  </si>
  <si>
    <t>低层码</t>
  </si>
  <si>
    <t>父项</t>
  </si>
  <si>
    <t>属性</t>
  </si>
  <si>
    <t>提前期(月)</t>
  </si>
  <si>
    <t>现有量</t>
  </si>
  <si>
    <t>批量</t>
  </si>
  <si>
    <t>A</t>
  </si>
  <si>
    <t>伊利纯牛奶箱装</t>
  </si>
  <si>
    <t>B1</t>
  </si>
  <si>
    <t>250ml单盒纯牛奶</t>
  </si>
  <si>
    <t>盒/箱</t>
  </si>
  <si>
    <t>B2</t>
  </si>
  <si>
    <t>个/箱</t>
  </si>
  <si>
    <t>B3</t>
  </si>
  <si>
    <t>米/箱</t>
  </si>
  <si>
    <t>C1</t>
  </si>
  <si>
    <t>纸箱箱体</t>
  </si>
  <si>
    <t>个/个</t>
  </si>
  <si>
    <t>C2</t>
  </si>
  <si>
    <t>C3</t>
  </si>
  <si>
    <t>升/盒</t>
  </si>
  <si>
    <t>C4</t>
  </si>
  <si>
    <t>千克/盒</t>
  </si>
  <si>
    <t>提前期</t>
  </si>
  <si>
    <t>分配量</t>
  </si>
  <si>
    <t>项目</t>
  </si>
  <si>
    <t>当前</t>
  </si>
  <si>
    <t>C5</t>
  </si>
  <si>
    <t>支/盒</t>
  </si>
  <si>
    <t>MPS计划产出</t>
  </si>
  <si>
    <t>C6</t>
  </si>
  <si>
    <t>克/盒</t>
  </si>
  <si>
    <t>MPS计划投入</t>
  </si>
  <si>
    <t>D1</t>
  </si>
  <si>
    <t>升/升标准奶</t>
  </si>
  <si>
    <t>PAB初值</t>
  </si>
  <si>
    <t>预计库存量PAB</t>
  </si>
  <si>
    <t>计划投入量</t>
  </si>
  <si>
    <t>能力需求计划（CRP）编制表</t>
  </si>
  <si>
    <t>Step 1  分解产品物料需求：由MPS/MRP得到计划订单</t>
  </si>
  <si>
    <t>总负荷</t>
  </si>
  <si>
    <t>可用能力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</si>
  <si>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</si>
  <si>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</si>
  <si>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</si>
  <si>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</si>
  <si>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</si>
  <si>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</si>
  <si>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</si>
  <si>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</si>
  <si>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</si>
  <si>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</si>
  <si>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</si>
  <si>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</si>
  <si>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合计</t>
  </si>
  <si>
    <t>说明</t>
  </si>
  <si>
    <t>MPS计划产出量(箱)</t>
  </si>
  <si>
    <t>批量为30000箱，集中在第2、5、7、10月</t>
  </si>
  <si>
    <t>计划投入量(箱)</t>
  </si>
  <si>
    <t>提前期按月度计划已在MPS/MRP中处理</t>
  </si>
  <si>
    <t>CRP计算对象</t>
  </si>
  <si>
    <t>生产批</t>
  </si>
  <si>
    <t>4批</t>
  </si>
  <si>
    <t>进入工艺路线和工作中心负荷计算</t>
  </si>
  <si>
    <t>Step 2  编制工艺路线文件：计算单件总时间</t>
  </si>
  <si>
    <t>产品A（伊利纯牛奶箱装）的工艺路线文件（时间单位为定额工时）</t>
  </si>
  <si>
    <t>物料</t>
  </si>
  <si>
    <t>工序号</t>
  </si>
  <si>
    <t>工作中心</t>
  </si>
  <si>
    <t>工序内容</t>
  </si>
  <si>
    <t>单件加工时间</t>
  </si>
  <si>
    <t>生产准备时间</t>
  </si>
  <si>
    <t>平均批量</t>
  </si>
  <si>
    <t>单件准备时间</t>
  </si>
  <si>
    <t>单件总时间</t>
  </si>
  <si>
    <t>101(A-10)</t>
  </si>
  <si>
    <t>WC-10</t>
  </si>
  <si>
    <t>原奶验收与标准化</t>
  </si>
  <si>
    <t>B</t>
  </si>
  <si>
    <t>201(B-10)</t>
  </si>
  <si>
    <t>WC-20</t>
  </si>
  <si>
    <t>UHT灭菌</t>
  </si>
  <si>
    <t>C</t>
  </si>
  <si>
    <t>301(C-10)</t>
  </si>
  <si>
    <t>WC-30</t>
  </si>
  <si>
    <t>无菌灌装封合</t>
  </si>
  <si>
    <t>D</t>
  </si>
  <si>
    <t>401(D-10)</t>
  </si>
  <si>
    <t>WC-40</t>
  </si>
  <si>
    <t>装箱封箱</t>
  </si>
  <si>
    <t>E</t>
  </si>
  <si>
    <t>501(E-10)</t>
  </si>
  <si>
    <t>WC-50</t>
  </si>
  <si>
    <t>成品检验与入库</t>
  </si>
  <si>
    <t>Step 3  编制工作中心能力文件：计算可用能力和单批负荷</t>
  </si>
  <si>
    <t>排队时间(天)</t>
  </si>
  <si>
    <t>运输时间(天)</t>
  </si>
  <si>
    <t>人数/设备台数</t>
  </si>
  <si>
    <t>月可用能力(h)</t>
  </si>
  <si>
    <t>单批30000箱负荷(h)</t>
  </si>
  <si>
    <t>生产时间(月)</t>
  </si>
  <si>
    <t>负荷率</t>
  </si>
  <si>
    <t>Step 4  编制工序计划：按订单月份安排开工与完工</t>
  </si>
  <si>
    <t>订单月份</t>
  </si>
  <si>
    <t>订单数量(箱)</t>
  </si>
  <si>
    <t>计划说明</t>
  </si>
  <si>
    <t>2月上旬</t>
  </si>
  <si>
    <t>2月中旬</t>
  </si>
  <si>
    <t>2月下旬</t>
  </si>
  <si>
    <t>按月度CRP汇总，生产月份内顺序衔接</t>
  </si>
  <si>
    <t>5月上旬</t>
  </si>
  <si>
    <t>5月中旬</t>
  </si>
  <si>
    <t>5月下旬</t>
  </si>
  <si>
    <t>7月上旬</t>
  </si>
  <si>
    <t>7月中旬</t>
  </si>
  <si>
    <t>7月下旬</t>
  </si>
  <si>
    <t>10月上旬</t>
  </si>
  <si>
    <t>10月中旬</t>
  </si>
  <si>
    <t>10月下旬</t>
  </si>
  <si>
    <t>Step 5  物料能力需求计划表：按物料/工作中心展开负荷</t>
  </si>
  <si>
    <t>拖期</t>
  </si>
  <si>
    <t>总计</t>
  </si>
  <si>
    <t>Step 6  按工作中心汇总负荷并绘制负荷图</t>
  </si>
  <si>
    <t>最高负荷率</t>
  </si>
  <si>
    <t>Step 7  能力分析与控制</t>
  </si>
  <si>
    <t>生产月份总负荷为15000h，合计月可用能力为16678.20h，能力余量为1678.20h。</t>
  </si>
  <si>
    <t>WC-30无菌灌装封合最高负荷率约97.5%，是本次CRP的瓶颈观察点。</t>
  </si>
  <si>
    <t>若实际订单增加或设备停机，应优先采用加班、临时增配灌装人员、转移包装负荷或外协非核心包装工序。</t>
  </si>
  <si>
    <t>非生产月份应安排设备点检、原辅料确认和人员培训，避免生产月份启动延迟。</t>
  </si>
  <si>
    <t>典型场景生产调度计算表</t>
  </si>
  <si>
    <t>调度场景</t>
  </si>
  <si>
    <t>第2月30000箱生产批</t>
  </si>
  <si>
    <t>作业类型</t>
  </si>
  <si>
    <t>同序流水作业</t>
  </si>
  <si>
    <t>调度规则</t>
  </si>
  <si>
    <t>EDD最早交期优先</t>
  </si>
  <si>
    <t>瓶颈工序</t>
  </si>
  <si>
    <t>WC-30无菌灌装封合</t>
  </si>
  <si>
    <t>月工作日</t>
  </si>
  <si>
    <t>数据来源</t>
  </si>
  <si>
    <t>MPS/CRP</t>
  </si>
  <si>
    <t>生产批量(箱)</t>
  </si>
  <si>
    <t>拆分依据</t>
  </si>
  <si>
    <t>客户订单+预测备货+安全库存</t>
  </si>
  <si>
    <t>目标</t>
  </si>
  <si>
    <t>满足交期、控制瓶颈负荷</t>
  </si>
  <si>
    <t>异常假设</t>
  </si>
  <si>
    <t>瓶颈停机1天</t>
  </si>
  <si>
    <t>计划单位</t>
  </si>
  <si>
    <t>工作日</t>
  </si>
  <si>
    <t>Step 1 订单拆分与优先级计算</t>
  </si>
  <si>
    <t>作业编号</t>
  </si>
  <si>
    <t>需求来源</t>
  </si>
  <si>
    <t>数量(箱)</t>
  </si>
  <si>
    <t>释放日</t>
  </si>
  <si>
    <t>交期</t>
  </si>
  <si>
    <t>EDD顺序</t>
  </si>
  <si>
    <t>瓶颈日能力</t>
  </si>
  <si>
    <t>瓶颈工期</t>
  </si>
  <si>
    <t>开始日</t>
  </si>
  <si>
    <t>完成日</t>
  </si>
  <si>
    <t>状态</t>
  </si>
  <si>
    <t>J1</t>
  </si>
  <si>
    <t>2月客户确定订单</t>
  </si>
  <si>
    <t>J2</t>
  </si>
  <si>
    <t>3月销售预测备货</t>
  </si>
  <si>
    <t>J3</t>
  </si>
  <si>
    <t>安全库存与批量余量</t>
  </si>
  <si>
    <t>Step 2 工作中心能力与瓶颈识别</t>
  </si>
  <si>
    <t>单件总时间(h/箱)</t>
  </si>
  <si>
    <t>月可加工能力(箱)</t>
  </si>
  <si>
    <t>日可加工能力</t>
  </si>
  <si>
    <t>单批负荷(h)</t>
  </si>
  <si>
    <t>瓶颈判断</t>
  </si>
  <si>
    <t>瓶颈工作中心</t>
  </si>
  <si>
    <t>瓶颈日能力(箱/日)</t>
  </si>
  <si>
    <t>月度余量(天)</t>
  </si>
  <si>
    <t>停机1天需补偿(天)</t>
  </si>
  <si>
    <t>Step 3 调度结果汇总</t>
  </si>
  <si>
    <t>顺序</t>
  </si>
  <si>
    <t>执行结论</t>
  </si>
  <si>
    <t>Step 4 甘特图（蓝色表示占用瓶颈WC-30的工作日）</t>
  </si>
  <si>
    <t>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</si>
</sst>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%"/>
  </numFmts>
  <fonts count="18">
    <font>
      <sz val="11"/>
      <color theme="1"/>
      <name val="等线"/>
      <family val="2"/>
      <scheme val="minor"/>
    </font>
    <font>
      <b/>
      <sz val="12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name val="等线"/>
      <family val="3"/>
      <charset val="134"/>
      <scheme val="minor"/>
    </font>
    <font>
      <b/>
      <sz val="14"/>
      <color rgb="FF0F1115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等线"/>
      <family val="2"/>
      <scheme val="minor"/>
    </font>
    <font>
      <sz val="10"/>
      <name val="Microsoft YaHei"/>
      <family val="2"/>
      <charset val="134"/>
    </font>
    <font>
      <b/>
      <sz val="16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9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D400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5B9BD5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177" fontId="14" fillId="0" borderId="7" xfId="0" applyNumberFormat="1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left" vertical="center" wrapText="1"/>
    </xf>
    <xf numFmtId="2" fontId="14" fillId="8" borderId="7" xfId="0" applyNumberFormat="1" applyFont="1" applyFill="1" applyBorder="1" applyAlignment="1">
      <alignment horizontal="center" vertical="center" wrapText="1"/>
    </xf>
    <xf numFmtId="177" fontId="14" fillId="8" borderId="7" xfId="0" applyNumberFormat="1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2" fontId="15" fillId="7" borderId="7" xfId="0" applyNumberFormat="1" applyFont="1" applyFill="1" applyBorder="1" applyAlignment="1">
      <alignment horizontal="center" vertical="center" wrapText="1"/>
    </xf>
    <xf numFmtId="177" fontId="15" fillId="7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5" fillId="5" borderId="7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各作业瓶颈工期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典型场景调度!$H$8</c:f>
              <c:strCache>
                <c:ptCount val="1"/>
                <c:pt idx="0">
                  <c:v>瓶颈工期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典型场景调度!$A$9:$A$11</c:f>
              <c:strCache>
                <c:ptCount val="3"/>
                <c:pt idx="0">
                  <c:v>J1</c:v>
                </c:pt>
                <c:pt idx="1">
                  <c:v>J2</c:v>
                </c:pt>
                <c:pt idx="2">
                  <c:v>J3</c:v>
                </c:pt>
              </c:strCache>
            </c:strRef>
          </c:cat>
          <c:val>
            <c:numRef>
              <c:f>典型场景调度!$H$9:$H$11</c:f>
              <c:numCache>
                <c:formatCode>0.00</c:formatCode>
                <c:ptCount val="3"/>
                <c:pt idx="0">
                  <c:v>7.0142078455902066</c:v>
                </c:pt>
                <c:pt idx="1">
                  <c:v>7.1486015548208384</c:v>
                </c:pt>
                <c:pt idx="2">
                  <c:v>7.2829952640514701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C-4A26-BE43-432CA33D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作业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工作日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R23"/>
  <sheetViews>
    <sheetView topLeftCell="D12" zoomScaleNormal="100" workbookViewId="0">
      <selection activeCell="I7" sqref="I7:O19"/>
    </sheetView>
  </sheetViews>
  <sheetFormatPr defaultRowHeight="13.8"/>
  <cols>
    <col min="8" max="8" width="5" style="22" customWidth="1"/>
    <col min="9" max="9" width="7.6640625" style="22" bestFit="1" customWidth="1"/>
    <col min="10" max="10" width="20.33203125" style="22" customWidth="1"/>
    <col min="11" max="11" width="32.5546875" style="22" customWidth="1"/>
    <col min="12" max="12" width="10.44140625" style="22" bestFit="1" customWidth="1"/>
    <col min="13" max="14" width="6" style="22" bestFit="1" customWidth="1"/>
    <col min="15" max="15" width="20.21875" style="22" bestFit="1" customWidth="1"/>
  </cols>
  <sheetData>
    <row r="5" spans="7:18" ht="7.2" customHeight="1"/>
    <row r="6" spans="7:18" hidden="1"/>
    <row r="7" spans="7:18" ht="44.4" customHeight="1">
      <c r="G7" s="1"/>
      <c r="I7" s="40" t="s">
        <v>0</v>
      </c>
      <c r="J7" s="41"/>
      <c r="K7" s="41"/>
      <c r="L7" s="41"/>
      <c r="M7" s="41"/>
      <c r="N7" s="41"/>
      <c r="O7" s="41"/>
    </row>
    <row r="8" spans="7:18" ht="34.950000000000003" customHeight="1">
      <c r="G8" s="2"/>
      <c r="H8" s="2"/>
      <c r="I8" s="6" t="s">
        <v>1</v>
      </c>
      <c r="J8" s="6" t="s">
        <v>2</v>
      </c>
      <c r="K8" s="6" t="s">
        <v>3</v>
      </c>
      <c r="L8" s="6" t="s">
        <v>4</v>
      </c>
      <c r="M8" s="6" t="s">
        <v>5</v>
      </c>
      <c r="N8" s="6" t="s">
        <v>6</v>
      </c>
      <c r="O8" s="6" t="s">
        <v>7</v>
      </c>
    </row>
    <row r="9" spans="7:18" ht="34.950000000000003" customHeight="1">
      <c r="G9" s="3"/>
      <c r="H9" s="3"/>
      <c r="I9" s="6">
        <v>0</v>
      </c>
      <c r="J9" s="7" t="s">
        <v>8</v>
      </c>
      <c r="K9" s="7" t="s">
        <v>9</v>
      </c>
      <c r="L9" s="6">
        <v>1</v>
      </c>
      <c r="M9" s="6" t="s">
        <v>10</v>
      </c>
      <c r="N9" s="6" t="s">
        <v>11</v>
      </c>
      <c r="O9" s="7"/>
      <c r="R9" s="5"/>
    </row>
    <row r="10" spans="7:18" ht="34.950000000000003" customHeight="1">
      <c r="G10" s="4"/>
      <c r="H10" s="4"/>
      <c r="I10" s="6">
        <v>1</v>
      </c>
      <c r="J10" s="7" t="s">
        <v>8</v>
      </c>
      <c r="K10" s="7" t="s">
        <v>12</v>
      </c>
      <c r="L10" s="6">
        <v>24</v>
      </c>
      <c r="M10" s="6" t="s">
        <v>13</v>
      </c>
      <c r="N10" s="6" t="s">
        <v>11</v>
      </c>
      <c r="O10" s="7" t="s">
        <v>14</v>
      </c>
    </row>
    <row r="11" spans="7:18" ht="34.950000000000003" customHeight="1">
      <c r="G11" s="4"/>
      <c r="H11" s="4"/>
      <c r="I11" s="6">
        <v>1</v>
      </c>
      <c r="J11" s="7" t="s">
        <v>15</v>
      </c>
      <c r="K11" s="7" t="s">
        <v>16</v>
      </c>
      <c r="L11" s="6">
        <v>1</v>
      </c>
      <c r="M11" s="6" t="s">
        <v>17</v>
      </c>
      <c r="N11" s="6" t="s">
        <v>18</v>
      </c>
      <c r="O11" s="7" t="s">
        <v>19</v>
      </c>
    </row>
    <row r="12" spans="7:18" ht="34.950000000000003" customHeight="1">
      <c r="G12" s="4"/>
      <c r="H12" s="4"/>
      <c r="I12" s="6">
        <v>1</v>
      </c>
      <c r="J12" s="9" t="s">
        <v>20</v>
      </c>
      <c r="K12" s="7" t="s">
        <v>21</v>
      </c>
      <c r="L12" s="8">
        <v>0.5</v>
      </c>
      <c r="M12" s="6" t="s">
        <v>22</v>
      </c>
      <c r="N12" s="8" t="s">
        <v>18</v>
      </c>
      <c r="O12" s="7" t="s">
        <v>23</v>
      </c>
    </row>
    <row r="13" spans="7:18" ht="34.950000000000003" customHeight="1">
      <c r="G13" s="4"/>
      <c r="I13" s="6">
        <v>2</v>
      </c>
      <c r="J13" s="7" t="s">
        <v>15</v>
      </c>
      <c r="K13" s="9" t="s">
        <v>18</v>
      </c>
      <c r="L13" s="6">
        <v>1</v>
      </c>
      <c r="M13" s="8" t="s">
        <v>17</v>
      </c>
      <c r="N13" s="8" t="s">
        <v>18</v>
      </c>
      <c r="O13" s="9"/>
    </row>
    <row r="14" spans="7:18" ht="34.950000000000003" customHeight="1">
      <c r="G14" s="4"/>
      <c r="I14" s="6">
        <v>2</v>
      </c>
      <c r="J14" s="7" t="s">
        <v>24</v>
      </c>
      <c r="K14" s="9" t="s">
        <v>18</v>
      </c>
      <c r="L14" s="6">
        <v>1</v>
      </c>
      <c r="M14" s="8" t="s">
        <v>17</v>
      </c>
      <c r="N14" s="8" t="s">
        <v>18</v>
      </c>
      <c r="O14" s="9"/>
    </row>
    <row r="15" spans="7:18" ht="34.950000000000003" customHeight="1">
      <c r="G15" s="4"/>
      <c r="I15" s="6">
        <v>2</v>
      </c>
      <c r="J15" s="7" t="s">
        <v>25</v>
      </c>
      <c r="K15" s="7" t="s">
        <v>26</v>
      </c>
      <c r="L15" s="6">
        <v>0.25</v>
      </c>
      <c r="M15" s="6" t="s">
        <v>27</v>
      </c>
      <c r="N15" s="6" t="s">
        <v>11</v>
      </c>
      <c r="O15" s="7" t="s">
        <v>28</v>
      </c>
    </row>
    <row r="16" spans="7:18" ht="34.950000000000003" customHeight="1">
      <c r="G16" s="4"/>
      <c r="H16" s="4"/>
      <c r="I16" s="6">
        <v>2</v>
      </c>
      <c r="J16" s="7" t="s">
        <v>29</v>
      </c>
      <c r="K16" s="7" t="s">
        <v>30</v>
      </c>
      <c r="L16" s="6">
        <v>0.04</v>
      </c>
      <c r="M16" s="6" t="s">
        <v>31</v>
      </c>
      <c r="N16" s="6" t="s">
        <v>18</v>
      </c>
      <c r="O16" s="7" t="s">
        <v>32</v>
      </c>
    </row>
    <row r="17" spans="7:15" ht="34.950000000000003" customHeight="1">
      <c r="G17" s="4"/>
      <c r="H17" s="4"/>
      <c r="I17" s="6">
        <v>2</v>
      </c>
      <c r="J17" s="7" t="s">
        <v>33</v>
      </c>
      <c r="K17" s="7" t="s">
        <v>34</v>
      </c>
      <c r="L17" s="6">
        <v>1</v>
      </c>
      <c r="M17" s="6" t="s">
        <v>35</v>
      </c>
      <c r="N17" s="6" t="s">
        <v>18</v>
      </c>
      <c r="O17" s="7" t="s">
        <v>36</v>
      </c>
    </row>
    <row r="18" spans="7:15" ht="34.950000000000003" customHeight="1">
      <c r="G18" s="4"/>
      <c r="H18" s="4"/>
      <c r="I18" s="6">
        <v>2</v>
      </c>
      <c r="J18" s="7" t="s">
        <v>37</v>
      </c>
      <c r="K18" s="7" t="s">
        <v>38</v>
      </c>
      <c r="L18" s="6">
        <v>0.2</v>
      </c>
      <c r="M18" s="6" t="s">
        <v>39</v>
      </c>
      <c r="N18" s="6" t="s">
        <v>18</v>
      </c>
      <c r="O18" s="7" t="s">
        <v>40</v>
      </c>
    </row>
    <row r="19" spans="7:15" ht="34.950000000000003" customHeight="1">
      <c r="G19" s="4"/>
      <c r="H19" s="4"/>
      <c r="I19" s="6">
        <v>3</v>
      </c>
      <c r="J19" s="7" t="s">
        <v>41</v>
      </c>
      <c r="K19" s="7" t="s">
        <v>42</v>
      </c>
      <c r="L19" s="6">
        <v>0.26</v>
      </c>
      <c r="M19" s="6" t="s">
        <v>27</v>
      </c>
      <c r="N19" s="6" t="s">
        <v>43</v>
      </c>
      <c r="O19" s="9" t="s">
        <v>44</v>
      </c>
    </row>
    <row r="20" spans="7:15">
      <c r="G20" s="4"/>
      <c r="H20" s="4"/>
    </row>
    <row r="21" spans="7:15">
      <c r="G21" s="4"/>
      <c r="H21" s="4"/>
    </row>
    <row r="22" spans="7:15" ht="19.2" customHeight="1">
      <c r="I22" s="1"/>
    </row>
    <row r="23" spans="7:15" ht="19.2" customHeight="1">
      <c r="G23" s="1"/>
    </row>
  </sheetData>
  <mergeCells count="1">
    <mergeCell ref="I7:O7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3:W34"/>
  <sheetViews>
    <sheetView topLeftCell="C6" zoomScale="115" zoomScaleNormal="115" workbookViewId="0">
      <selection activeCell="L21" sqref="L21"/>
    </sheetView>
  </sheetViews>
  <sheetFormatPr defaultRowHeight="13.8"/>
  <cols>
    <col min="6" max="6" width="13.5546875" style="22" bestFit="1" customWidth="1"/>
    <col min="13" max="13" width="8.5546875" style="22" customWidth="1"/>
    <col min="14" max="14" width="8.88671875" style="22" hidden="1" customWidth="1"/>
    <col min="15" max="15" width="14.33203125" style="22" bestFit="1" customWidth="1"/>
    <col min="16" max="16" width="21.77734375" style="22" bestFit="1" customWidth="1"/>
    <col min="17" max="17" width="18.5546875" style="22" bestFit="1" customWidth="1"/>
    <col min="20" max="20" width="8.88671875" style="22" hidden="1" customWidth="1"/>
    <col min="21" max="21" width="11.109375" style="22" bestFit="1" customWidth="1"/>
    <col min="22" max="22" width="19.6640625" style="22" bestFit="1" customWidth="1"/>
    <col min="23" max="23" width="21.77734375" style="22" bestFit="1" customWidth="1"/>
  </cols>
  <sheetData>
    <row r="13" spans="6:13" ht="14.4" customHeight="1" thickBot="1"/>
    <row r="14" spans="6:13" ht="14.4" customHeight="1" thickBot="1">
      <c r="F14" s="10" t="s">
        <v>45</v>
      </c>
      <c r="G14" s="11">
        <v>1</v>
      </c>
      <c r="H14" s="11">
        <v>2</v>
      </c>
      <c r="I14" s="11">
        <v>3</v>
      </c>
      <c r="J14" s="11">
        <v>4</v>
      </c>
      <c r="K14" s="11">
        <v>5</v>
      </c>
      <c r="L14" s="11">
        <v>6</v>
      </c>
      <c r="M14" s="11">
        <v>7</v>
      </c>
    </row>
    <row r="15" spans="6:13" ht="14.4" customHeight="1" thickBot="1">
      <c r="F15" s="12" t="s">
        <v>46</v>
      </c>
      <c r="G15" s="13">
        <v>10000</v>
      </c>
      <c r="H15" s="13">
        <v>10000</v>
      </c>
      <c r="I15" s="13">
        <v>10000</v>
      </c>
      <c r="J15" s="13">
        <v>10000</v>
      </c>
      <c r="K15" s="13">
        <v>10000</v>
      </c>
      <c r="L15" s="13">
        <v>10000</v>
      </c>
      <c r="M15" s="13">
        <v>10000</v>
      </c>
    </row>
    <row r="16" spans="6:13" ht="27" customHeight="1" thickBot="1">
      <c r="F16" s="12" t="s">
        <v>47</v>
      </c>
      <c r="G16" s="13">
        <f>19000+G17-G15</f>
        <v>17833</v>
      </c>
      <c r="H16" s="13">
        <f t="shared" ref="H16:M16" si="0">G16+H17-H15</f>
        <v>16666</v>
      </c>
      <c r="I16" s="13">
        <f t="shared" si="0"/>
        <v>15499</v>
      </c>
      <c r="J16" s="13">
        <f t="shared" si="0"/>
        <v>14332</v>
      </c>
      <c r="K16" s="13">
        <f t="shared" si="0"/>
        <v>13165</v>
      </c>
      <c r="L16" s="13">
        <f t="shared" si="0"/>
        <v>11998</v>
      </c>
      <c r="M16" s="13">
        <f t="shared" si="0"/>
        <v>10831</v>
      </c>
    </row>
    <row r="17" spans="6:23" ht="14.4" customHeight="1" thickBot="1">
      <c r="F17" s="12" t="s">
        <v>48</v>
      </c>
      <c r="G17" s="13">
        <v>8833</v>
      </c>
      <c r="H17" s="13">
        <v>8833</v>
      </c>
      <c r="I17" s="13">
        <v>8833</v>
      </c>
      <c r="J17" s="13">
        <v>8833</v>
      </c>
      <c r="K17" s="13">
        <v>8833</v>
      </c>
      <c r="L17" s="13">
        <v>8833</v>
      </c>
      <c r="M17" s="13">
        <v>8833</v>
      </c>
    </row>
    <row r="18" spans="6:23" ht="14.4" customHeight="1" thickBot="1">
      <c r="F18" s="12" t="s">
        <v>45</v>
      </c>
      <c r="G18" s="13">
        <v>8</v>
      </c>
      <c r="H18" s="13">
        <v>9</v>
      </c>
      <c r="I18" s="13">
        <v>10</v>
      </c>
      <c r="J18" s="13">
        <v>11</v>
      </c>
      <c r="K18" s="13">
        <v>12</v>
      </c>
      <c r="L18" s="13" t="s">
        <v>49</v>
      </c>
      <c r="M18" s="14"/>
    </row>
    <row r="19" spans="6:23" ht="14.4" customHeight="1" thickBot="1">
      <c r="F19" s="12" t="s">
        <v>46</v>
      </c>
      <c r="G19" s="13">
        <v>10000</v>
      </c>
      <c r="H19" s="13">
        <v>10000</v>
      </c>
      <c r="I19" s="13">
        <v>10000</v>
      </c>
      <c r="J19" s="13">
        <v>10000</v>
      </c>
      <c r="K19" s="13">
        <v>10000</v>
      </c>
      <c r="L19" s="13">
        <v>120000</v>
      </c>
      <c r="M19" s="14"/>
    </row>
    <row r="20" spans="6:23" ht="27" customHeight="1" thickBot="1">
      <c r="F20" s="12" t="s">
        <v>50</v>
      </c>
      <c r="G20" s="13">
        <f>M16+G21-G19</f>
        <v>9664</v>
      </c>
      <c r="H20" s="13">
        <f>G20+H21-H19</f>
        <v>8497</v>
      </c>
      <c r="I20" s="13">
        <f>H20+I21-I19</f>
        <v>7330</v>
      </c>
      <c r="J20" s="13">
        <f>I20+J21-J19</f>
        <v>6163</v>
      </c>
      <c r="K20" s="13">
        <f>J20+K21-K19</f>
        <v>5000</v>
      </c>
      <c r="L20" s="13" t="s">
        <v>51</v>
      </c>
      <c r="M20" s="14"/>
    </row>
    <row r="21" spans="6:23" ht="14.4" customHeight="1" thickBot="1">
      <c r="F21" s="12" t="s">
        <v>48</v>
      </c>
      <c r="G21" s="13">
        <v>8833</v>
      </c>
      <c r="H21" s="13">
        <v>8833</v>
      </c>
      <c r="I21" s="13">
        <v>8833</v>
      </c>
      <c r="J21" s="13">
        <v>8833</v>
      </c>
      <c r="K21" s="13">
        <f>8833+4</f>
        <v>8837</v>
      </c>
      <c r="L21" s="13">
        <f>SUM(G17:M17,G21:K21)</f>
        <v>106000</v>
      </c>
      <c r="M21" s="14"/>
    </row>
    <row r="25" spans="6:23" ht="14.4" customHeight="1" thickBot="1"/>
    <row r="26" spans="6:23" ht="15.6" customHeight="1" thickBot="1">
      <c r="O26" s="17" t="s">
        <v>52</v>
      </c>
      <c r="P26" s="17" t="s">
        <v>53</v>
      </c>
      <c r="Q26" s="17" t="s">
        <v>7</v>
      </c>
      <c r="R26" s="15"/>
      <c r="S26" s="15"/>
      <c r="T26" s="15"/>
    </row>
    <row r="27" spans="6:23" ht="15.6" customHeight="1" thickBot="1">
      <c r="O27" s="17" t="s">
        <v>54</v>
      </c>
      <c r="P27" s="17">
        <v>6.24</v>
      </c>
      <c r="Q27" s="17" t="s">
        <v>55</v>
      </c>
      <c r="R27" s="15"/>
      <c r="S27" s="15"/>
      <c r="T27" s="15"/>
    </row>
    <row r="28" spans="6:23" ht="15.6" customHeight="1" thickBot="1">
      <c r="O28" s="17" t="s">
        <v>56</v>
      </c>
      <c r="P28" s="17">
        <v>0.96</v>
      </c>
      <c r="Q28" s="17" t="s">
        <v>57</v>
      </c>
      <c r="R28" s="15"/>
      <c r="S28" s="15"/>
      <c r="T28" s="15"/>
    </row>
    <row r="29" spans="6:23" ht="15.6" customHeight="1" thickBot="1">
      <c r="O29" s="17" t="s">
        <v>58</v>
      </c>
      <c r="P29" s="17">
        <v>0.5</v>
      </c>
      <c r="Q29" s="17" t="s">
        <v>59</v>
      </c>
      <c r="R29" s="15"/>
      <c r="S29" s="15"/>
      <c r="T29" s="15"/>
    </row>
    <row r="30" spans="6:23" ht="14.4" customHeight="1" thickBot="1">
      <c r="O30" s="16"/>
      <c r="P30" s="16"/>
      <c r="Q30" s="16"/>
      <c r="R30" s="16"/>
      <c r="S30" s="16"/>
      <c r="T30" s="16"/>
      <c r="U30" s="16"/>
      <c r="V30" s="16"/>
      <c r="W30" s="16"/>
    </row>
    <row r="31" spans="6:23" ht="15.6" customHeight="1" thickBot="1">
      <c r="O31" s="17" t="s">
        <v>52</v>
      </c>
      <c r="P31" s="17" t="s">
        <v>60</v>
      </c>
    </row>
    <row r="32" spans="6:23" ht="15.6" customHeight="1" thickBot="1">
      <c r="O32" s="17" t="s">
        <v>54</v>
      </c>
      <c r="P32" s="17">
        <f>106000*P27</f>
        <v>661440</v>
      </c>
    </row>
    <row r="33" spans="15:16" ht="15.6" customHeight="1" thickBot="1">
      <c r="O33" s="17" t="s">
        <v>56</v>
      </c>
      <c r="P33" s="17">
        <f>106000*P28</f>
        <v>101760</v>
      </c>
    </row>
    <row r="34" spans="15:16" ht="15.6" customHeight="1" thickBot="1">
      <c r="O34" s="17" t="s">
        <v>58</v>
      </c>
      <c r="P34" s="17">
        <f>106000*P29</f>
        <v>53000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2:R25"/>
  <sheetViews>
    <sheetView workbookViewId="0">
      <selection activeCell="G22" sqref="G22"/>
    </sheetView>
  </sheetViews>
  <sheetFormatPr defaultRowHeight="13.8"/>
  <cols>
    <col min="6" max="6" width="15.5546875" style="22" bestFit="1" customWidth="1"/>
  </cols>
  <sheetData>
    <row r="12" spans="6:18">
      <c r="F12" t="s">
        <v>61</v>
      </c>
      <c r="G12">
        <v>19000</v>
      </c>
    </row>
    <row r="13" spans="6:18">
      <c r="F13" t="s">
        <v>62</v>
      </c>
      <c r="G13">
        <v>5000</v>
      </c>
    </row>
    <row r="14" spans="6:18">
      <c r="F14" t="s">
        <v>63</v>
      </c>
      <c r="G14">
        <v>30000</v>
      </c>
    </row>
    <row r="15" spans="6:18">
      <c r="F15" t="s">
        <v>64</v>
      </c>
      <c r="G15" s="42" t="s">
        <v>65</v>
      </c>
      <c r="H15" s="41"/>
      <c r="I15" s="42" t="s">
        <v>66</v>
      </c>
      <c r="J15" s="41"/>
      <c r="K15" s="41"/>
      <c r="L15" s="41"/>
      <c r="M15" s="42" t="s">
        <v>67</v>
      </c>
      <c r="N15" s="41"/>
      <c r="O15" s="41"/>
      <c r="P15" s="41"/>
      <c r="Q15" s="41"/>
      <c r="R15" s="41"/>
    </row>
    <row r="16" spans="6:18">
      <c r="F16" t="s">
        <v>68</v>
      </c>
      <c r="G16">
        <v>1</v>
      </c>
      <c r="H16">
        <v>2</v>
      </c>
      <c r="I16">
        <v>3</v>
      </c>
      <c r="J16">
        <v>4</v>
      </c>
      <c r="K16">
        <v>5</v>
      </c>
      <c r="L16">
        <v>6</v>
      </c>
      <c r="M16">
        <v>7</v>
      </c>
      <c r="N16">
        <v>8</v>
      </c>
      <c r="O16">
        <v>9</v>
      </c>
      <c r="P16">
        <v>10</v>
      </c>
      <c r="Q16">
        <v>11</v>
      </c>
      <c r="R16">
        <v>12</v>
      </c>
    </row>
    <row r="17" spans="6:18">
      <c r="F17" t="s">
        <v>69</v>
      </c>
      <c r="G17">
        <v>0</v>
      </c>
      <c r="H17">
        <v>0</v>
      </c>
      <c r="I17">
        <v>10000</v>
      </c>
      <c r="J17">
        <v>10000</v>
      </c>
      <c r="K17">
        <v>10000</v>
      </c>
      <c r="L17">
        <v>10000</v>
      </c>
      <c r="M17">
        <v>10000</v>
      </c>
      <c r="N17">
        <v>10000</v>
      </c>
      <c r="O17">
        <v>10000</v>
      </c>
      <c r="P17">
        <v>10000</v>
      </c>
      <c r="Q17">
        <v>10000</v>
      </c>
      <c r="R17">
        <v>10000</v>
      </c>
    </row>
    <row r="18" spans="6:18">
      <c r="F18" t="s">
        <v>70</v>
      </c>
      <c r="G18">
        <v>12531</v>
      </c>
      <c r="H18">
        <v>9812</v>
      </c>
      <c r="I18">
        <v>6545</v>
      </c>
      <c r="J18">
        <v>10544</v>
      </c>
      <c r="K18">
        <v>12135</v>
      </c>
      <c r="L18">
        <v>8556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6:18">
      <c r="F19" t="s">
        <v>71</v>
      </c>
      <c r="G19">
        <f>G18</f>
        <v>12531</v>
      </c>
      <c r="H19">
        <f>H18</f>
        <v>9812</v>
      </c>
      <c r="I19">
        <f>MAX(I17:I18)</f>
        <v>10000</v>
      </c>
      <c r="J19">
        <f>MAX(J17:J18)</f>
        <v>10544</v>
      </c>
      <c r="K19">
        <f>MAX(K17:K18)</f>
        <v>12135</v>
      </c>
      <c r="L19">
        <f>MAX(L17:L18)</f>
        <v>10000</v>
      </c>
      <c r="M19">
        <f t="shared" ref="M19:R19" si="0">M17</f>
        <v>10000</v>
      </c>
      <c r="N19">
        <f t="shared" si="0"/>
        <v>10000</v>
      </c>
      <c r="O19">
        <f t="shared" si="0"/>
        <v>10000</v>
      </c>
      <c r="P19">
        <f t="shared" si="0"/>
        <v>10000</v>
      </c>
      <c r="Q19">
        <f t="shared" si="0"/>
        <v>10000</v>
      </c>
      <c r="R19">
        <f t="shared" si="0"/>
        <v>10000</v>
      </c>
    </row>
    <row r="20" spans="6:18"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6:18">
      <c r="F21" t="s">
        <v>73</v>
      </c>
      <c r="G21">
        <f>$G$12-G19+G20</f>
        <v>6469</v>
      </c>
      <c r="H21">
        <f t="shared" ref="H21:R21" si="1">G24-H19+H20</f>
        <v>-3343</v>
      </c>
      <c r="I21">
        <f t="shared" si="1"/>
        <v>16657</v>
      </c>
      <c r="J21">
        <f t="shared" si="1"/>
        <v>6113</v>
      </c>
      <c r="K21">
        <f t="shared" si="1"/>
        <v>-6022</v>
      </c>
      <c r="L21">
        <f t="shared" si="1"/>
        <v>13978</v>
      </c>
      <c r="M21">
        <f t="shared" si="1"/>
        <v>3978</v>
      </c>
      <c r="N21">
        <f t="shared" si="1"/>
        <v>23978</v>
      </c>
      <c r="O21">
        <f t="shared" si="1"/>
        <v>13978</v>
      </c>
      <c r="P21">
        <f t="shared" si="1"/>
        <v>3978</v>
      </c>
      <c r="Q21">
        <f t="shared" si="1"/>
        <v>23978</v>
      </c>
      <c r="R21">
        <f t="shared" si="1"/>
        <v>13978</v>
      </c>
    </row>
    <row r="22" spans="6:18">
      <c r="F22" t="s">
        <v>74</v>
      </c>
      <c r="G22">
        <f t="shared" ref="G22:R22" si="2">IF(G21-$G$13&gt;0,0,$G$13-G21)</f>
        <v>0</v>
      </c>
      <c r="H22">
        <f t="shared" si="2"/>
        <v>8343</v>
      </c>
      <c r="I22">
        <f t="shared" si="2"/>
        <v>0</v>
      </c>
      <c r="J22">
        <f t="shared" si="2"/>
        <v>0</v>
      </c>
      <c r="K22">
        <f t="shared" si="2"/>
        <v>11022</v>
      </c>
      <c r="L22">
        <f t="shared" si="2"/>
        <v>0</v>
      </c>
      <c r="M22">
        <f t="shared" si="2"/>
        <v>1022</v>
      </c>
      <c r="N22">
        <f t="shared" si="2"/>
        <v>0</v>
      </c>
      <c r="O22">
        <f t="shared" si="2"/>
        <v>0</v>
      </c>
      <c r="P22">
        <f t="shared" si="2"/>
        <v>1022</v>
      </c>
      <c r="Q22">
        <f t="shared" si="2"/>
        <v>0</v>
      </c>
      <c r="R22">
        <f t="shared" si="2"/>
        <v>0</v>
      </c>
    </row>
    <row r="23" spans="6:18">
      <c r="F23" t="s">
        <v>75</v>
      </c>
      <c r="G23">
        <f t="shared" ref="G23:R23" si="3">ROUNDUP(G22/$G$14,0)*$G$14</f>
        <v>0</v>
      </c>
      <c r="H23">
        <f t="shared" si="3"/>
        <v>30000</v>
      </c>
      <c r="I23">
        <f t="shared" si="3"/>
        <v>0</v>
      </c>
      <c r="J23">
        <f t="shared" si="3"/>
        <v>0</v>
      </c>
      <c r="K23">
        <f t="shared" si="3"/>
        <v>30000</v>
      </c>
      <c r="L23">
        <f t="shared" si="3"/>
        <v>0</v>
      </c>
      <c r="M23">
        <f t="shared" si="3"/>
        <v>30000</v>
      </c>
      <c r="N23">
        <f t="shared" si="3"/>
        <v>0</v>
      </c>
      <c r="O23">
        <f t="shared" si="3"/>
        <v>0</v>
      </c>
      <c r="P23">
        <f t="shared" si="3"/>
        <v>30000</v>
      </c>
      <c r="Q23">
        <f t="shared" si="3"/>
        <v>0</v>
      </c>
      <c r="R23">
        <f t="shared" si="3"/>
        <v>0</v>
      </c>
    </row>
    <row r="24" spans="6:18">
      <c r="F24" t="s">
        <v>76</v>
      </c>
      <c r="G24">
        <f t="shared" ref="G24:R24" si="4">G21+G23</f>
        <v>6469</v>
      </c>
      <c r="H24">
        <f t="shared" si="4"/>
        <v>26657</v>
      </c>
      <c r="I24">
        <f t="shared" si="4"/>
        <v>16657</v>
      </c>
      <c r="J24">
        <f t="shared" si="4"/>
        <v>6113</v>
      </c>
      <c r="K24">
        <f t="shared" si="4"/>
        <v>23978</v>
      </c>
      <c r="L24">
        <f t="shared" si="4"/>
        <v>13978</v>
      </c>
      <c r="M24">
        <f t="shared" si="4"/>
        <v>33978</v>
      </c>
      <c r="N24">
        <f t="shared" si="4"/>
        <v>23978</v>
      </c>
      <c r="O24">
        <f t="shared" si="4"/>
        <v>13978</v>
      </c>
      <c r="P24">
        <f t="shared" si="4"/>
        <v>33978</v>
      </c>
      <c r="Q24">
        <f t="shared" si="4"/>
        <v>23978</v>
      </c>
      <c r="R24">
        <f t="shared" si="4"/>
        <v>13978</v>
      </c>
    </row>
    <row r="25" spans="6:18">
      <c r="F25" t="s">
        <v>77</v>
      </c>
      <c r="G25">
        <f>G12-G18</f>
        <v>6469</v>
      </c>
      <c r="H25">
        <f>H23-H18-I18-J18</f>
        <v>3099</v>
      </c>
      <c r="K25">
        <f>K23-K18-L18</f>
        <v>9309</v>
      </c>
      <c r="M25">
        <f>M23-M18-N18-O18</f>
        <v>30000</v>
      </c>
      <c r="P25">
        <f>P23-P18-Q18-R18</f>
        <v>30000</v>
      </c>
    </row>
  </sheetData>
  <mergeCells count="3">
    <mergeCell ref="M15:R15"/>
    <mergeCell ref="G15:H15"/>
    <mergeCell ref="I15:L15"/>
  </mergeCells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1"/>
  <sheetViews>
    <sheetView showGridLines="0" topLeftCell="A41" zoomScale="85" zoomScaleNormal="85" workbookViewId="0">
      <selection activeCell="F57" sqref="F57"/>
    </sheetView>
  </sheetViews>
  <sheetFormatPr defaultRowHeight="13.8"/>
  <cols>
    <col min="1" max="4" width="7.21875" style="22" bestFit="1" customWidth="1"/>
    <col min="5" max="5" width="9.109375" style="22" bestFit="1" customWidth="1"/>
    <col min="6" max="6" width="7.109375" style="22" bestFit="1" customWidth="1"/>
    <col min="7" max="7" width="5.33203125" style="22" bestFit="1" customWidth="1"/>
    <col min="8" max="8" width="7.21875" style="22" bestFit="1" customWidth="1"/>
    <col min="9" max="9" width="13.5546875" style="22" bestFit="1" customWidth="1"/>
    <col min="10" max="11" width="9" style="22" bestFit="1" customWidth="1"/>
    <col min="12" max="12" width="8.21875" style="22" bestFit="1" customWidth="1"/>
    <col min="13" max="16" width="9" style="22" bestFit="1" customWidth="1"/>
    <col min="17" max="17" width="8.21875" style="22" bestFit="1" customWidth="1"/>
    <col min="18" max="19" width="9" style="22" bestFit="1" customWidth="1"/>
    <col min="20" max="20" width="7.109375" style="22" bestFit="1" customWidth="1"/>
    <col min="21" max="22" width="3.77734375" style="22" bestFit="1" customWidth="1"/>
    <col min="23" max="23" width="11" style="22" customWidth="1"/>
  </cols>
  <sheetData>
    <row r="1" spans="26:36" ht="28.05" customHeight="1"/>
    <row r="8" spans="26:36" ht="30" customHeight="1">
      <c r="Z8" s="18" t="s">
        <v>78</v>
      </c>
      <c r="AA8" s="18" t="s">
        <v>2</v>
      </c>
      <c r="AB8" s="18" t="s">
        <v>79</v>
      </c>
      <c r="AC8" s="18" t="s">
        <v>80</v>
      </c>
      <c r="AD8" s="18" t="s">
        <v>4</v>
      </c>
      <c r="AE8" s="18" t="s">
        <v>5</v>
      </c>
      <c r="AF8" s="18" t="s">
        <v>81</v>
      </c>
      <c r="AG8" s="18" t="s">
        <v>82</v>
      </c>
      <c r="AH8" s="18" t="s">
        <v>83</v>
      </c>
      <c r="AI8" s="18" t="s">
        <v>62</v>
      </c>
      <c r="AJ8" s="18" t="s">
        <v>84</v>
      </c>
    </row>
    <row r="9" spans="26:36" ht="30" customHeight="1">
      <c r="Z9" s="19" t="s">
        <v>85</v>
      </c>
      <c r="AA9" s="19" t="s">
        <v>86</v>
      </c>
      <c r="AB9" s="19">
        <v>0</v>
      </c>
      <c r="AC9" s="19"/>
      <c r="AD9" s="19">
        <v>1</v>
      </c>
      <c r="AE9" s="19" t="s">
        <v>10</v>
      </c>
      <c r="AF9" s="19" t="s">
        <v>11</v>
      </c>
      <c r="AG9" s="19">
        <v>1</v>
      </c>
      <c r="AH9" s="19">
        <v>19000</v>
      </c>
      <c r="AI9" s="19">
        <v>5000</v>
      </c>
      <c r="AJ9" s="19">
        <v>30000</v>
      </c>
    </row>
    <row r="10" spans="26:36" ht="30" customHeight="1">
      <c r="Z10" s="19" t="s">
        <v>87</v>
      </c>
      <c r="AA10" s="19" t="s">
        <v>88</v>
      </c>
      <c r="AB10" s="19">
        <v>1</v>
      </c>
      <c r="AC10" s="19" t="s">
        <v>85</v>
      </c>
      <c r="AD10" s="19">
        <v>24</v>
      </c>
      <c r="AE10" s="19" t="s">
        <v>89</v>
      </c>
      <c r="AF10" s="19" t="s">
        <v>11</v>
      </c>
      <c r="AG10" s="19">
        <v>1</v>
      </c>
      <c r="AH10" s="19">
        <v>0</v>
      </c>
      <c r="AI10" s="19">
        <v>0</v>
      </c>
      <c r="AJ10" s="19">
        <v>1</v>
      </c>
    </row>
    <row r="11" spans="26:36" ht="15" customHeight="1">
      <c r="Z11" s="19" t="s">
        <v>90</v>
      </c>
      <c r="AA11" s="19" t="s">
        <v>15</v>
      </c>
      <c r="AB11" s="19">
        <v>1</v>
      </c>
      <c r="AC11" s="19" t="s">
        <v>85</v>
      </c>
      <c r="AD11" s="19">
        <v>1</v>
      </c>
      <c r="AE11" s="19" t="s">
        <v>91</v>
      </c>
      <c r="AF11" s="19" t="s">
        <v>18</v>
      </c>
      <c r="AG11" s="19">
        <v>1</v>
      </c>
      <c r="AH11" s="19">
        <v>0</v>
      </c>
      <c r="AI11" s="19">
        <v>0</v>
      </c>
      <c r="AJ11" s="19">
        <v>1</v>
      </c>
    </row>
    <row r="12" spans="26:36" ht="15" customHeight="1">
      <c r="Z12" s="19" t="s">
        <v>92</v>
      </c>
      <c r="AA12" s="19" t="s">
        <v>20</v>
      </c>
      <c r="AB12" s="19">
        <v>1</v>
      </c>
      <c r="AC12" s="19" t="s">
        <v>85</v>
      </c>
      <c r="AD12" s="19">
        <v>0.5</v>
      </c>
      <c r="AE12" s="19" t="s">
        <v>93</v>
      </c>
      <c r="AF12" s="19" t="s">
        <v>18</v>
      </c>
      <c r="AG12" s="19">
        <v>1</v>
      </c>
      <c r="AH12" s="19">
        <v>0</v>
      </c>
      <c r="AI12" s="19">
        <v>0</v>
      </c>
      <c r="AJ12" s="19">
        <v>1</v>
      </c>
    </row>
    <row r="13" spans="26:36" ht="15" customHeight="1">
      <c r="Z13" s="19" t="s">
        <v>94</v>
      </c>
      <c r="AA13" s="19" t="s">
        <v>95</v>
      </c>
      <c r="AB13" s="19">
        <v>2</v>
      </c>
      <c r="AC13" s="19" t="s">
        <v>90</v>
      </c>
      <c r="AD13" s="19">
        <v>1</v>
      </c>
      <c r="AE13" s="19" t="s">
        <v>96</v>
      </c>
      <c r="AF13" s="19" t="s">
        <v>18</v>
      </c>
      <c r="AG13" s="19">
        <v>1</v>
      </c>
      <c r="AH13" s="19">
        <v>0</v>
      </c>
      <c r="AI13" s="19">
        <v>0</v>
      </c>
      <c r="AJ13" s="19">
        <v>1</v>
      </c>
    </row>
    <row r="14" spans="26:36" ht="15" customHeight="1">
      <c r="Z14" s="19" t="s">
        <v>97</v>
      </c>
      <c r="AA14" s="19" t="s">
        <v>24</v>
      </c>
      <c r="AB14" s="19">
        <v>2</v>
      </c>
      <c r="AC14" s="19" t="s">
        <v>90</v>
      </c>
      <c r="AD14" s="19">
        <v>1</v>
      </c>
      <c r="AE14" s="19" t="s">
        <v>96</v>
      </c>
      <c r="AF14" s="19" t="s">
        <v>18</v>
      </c>
      <c r="AG14" s="19">
        <v>1</v>
      </c>
      <c r="AH14" s="19">
        <v>0</v>
      </c>
      <c r="AI14" s="19">
        <v>0</v>
      </c>
      <c r="AJ14" s="19">
        <v>1</v>
      </c>
    </row>
    <row r="15" spans="26:36" ht="30" customHeight="1">
      <c r="Z15" s="19" t="s">
        <v>98</v>
      </c>
      <c r="AA15" s="19" t="s">
        <v>25</v>
      </c>
      <c r="AB15" s="19">
        <v>2</v>
      </c>
      <c r="AC15" s="19" t="s">
        <v>87</v>
      </c>
      <c r="AD15" s="19">
        <v>0.25</v>
      </c>
      <c r="AE15" s="19" t="s">
        <v>99</v>
      </c>
      <c r="AF15" s="19" t="s">
        <v>11</v>
      </c>
      <c r="AG15" s="19">
        <v>1</v>
      </c>
      <c r="AH15" s="19">
        <v>0</v>
      </c>
      <c r="AI15" s="19">
        <v>0</v>
      </c>
      <c r="AJ15" s="19">
        <v>1</v>
      </c>
    </row>
    <row r="16" spans="26:36" ht="30" customHeight="1">
      <c r="Z16" s="19" t="s">
        <v>100</v>
      </c>
      <c r="AA16" s="19" t="s">
        <v>29</v>
      </c>
      <c r="AB16" s="19">
        <v>2</v>
      </c>
      <c r="AC16" s="19" t="s">
        <v>87</v>
      </c>
      <c r="AD16" s="19">
        <v>0.04</v>
      </c>
      <c r="AE16" s="19" t="s">
        <v>101</v>
      </c>
      <c r="AF16" s="19" t="s">
        <v>18</v>
      </c>
      <c r="AG16" s="19">
        <v>1</v>
      </c>
      <c r="AH16" s="19">
        <v>0</v>
      </c>
      <c r="AI16" s="19">
        <v>0</v>
      </c>
      <c r="AJ16" s="19">
        <v>1</v>
      </c>
    </row>
    <row r="17" spans="1:36" ht="15" customHeight="1">
      <c r="A17" s="20" t="s">
        <v>79</v>
      </c>
      <c r="B17" s="20" t="s">
        <v>102</v>
      </c>
      <c r="C17" s="20" t="s">
        <v>83</v>
      </c>
      <c r="D17" s="20" t="s">
        <v>103</v>
      </c>
      <c r="E17" s="20" t="s">
        <v>62</v>
      </c>
      <c r="F17" s="20" t="s">
        <v>84</v>
      </c>
      <c r="G17" s="20" t="s">
        <v>5</v>
      </c>
      <c r="H17" s="20" t="s">
        <v>78</v>
      </c>
      <c r="I17" s="20" t="s">
        <v>104</v>
      </c>
      <c r="J17" s="20" t="s">
        <v>105</v>
      </c>
      <c r="K17" s="20">
        <v>1</v>
      </c>
      <c r="L17" s="20">
        <v>2</v>
      </c>
      <c r="M17" s="20">
        <v>3</v>
      </c>
      <c r="N17" s="20">
        <v>4</v>
      </c>
      <c r="O17" s="20">
        <v>5</v>
      </c>
      <c r="P17" s="20">
        <v>6</v>
      </c>
      <c r="Q17" s="20">
        <v>7</v>
      </c>
      <c r="R17" s="20">
        <v>8</v>
      </c>
      <c r="S17" s="20">
        <v>9</v>
      </c>
      <c r="T17" s="20">
        <v>10</v>
      </c>
      <c r="U17" s="20">
        <v>11</v>
      </c>
      <c r="V17" s="20">
        <v>12</v>
      </c>
      <c r="Z17" s="19" t="s">
        <v>106</v>
      </c>
      <c r="AA17" s="19" t="s">
        <v>33</v>
      </c>
      <c r="AB17" s="19">
        <v>2</v>
      </c>
      <c r="AC17" s="19" t="s">
        <v>87</v>
      </c>
      <c r="AD17" s="19">
        <v>1</v>
      </c>
      <c r="AE17" s="19" t="s">
        <v>107</v>
      </c>
      <c r="AF17" s="19" t="s">
        <v>18</v>
      </c>
      <c r="AG17" s="19">
        <v>1</v>
      </c>
      <c r="AH17" s="19">
        <v>0</v>
      </c>
      <c r="AI17" s="19">
        <v>0</v>
      </c>
      <c r="AJ17" s="19">
        <v>1</v>
      </c>
    </row>
    <row r="18" spans="1:36" ht="15" customHeight="1">
      <c r="A18" s="19">
        <v>0</v>
      </c>
      <c r="B18" s="19">
        <v>1</v>
      </c>
      <c r="C18" s="19">
        <v>19000</v>
      </c>
      <c r="D18" s="19">
        <v>0</v>
      </c>
      <c r="E18" s="19">
        <v>5000</v>
      </c>
      <c r="F18" s="19">
        <v>30000</v>
      </c>
      <c r="G18" s="19" t="s">
        <v>10</v>
      </c>
      <c r="H18" s="19" t="s">
        <v>85</v>
      </c>
      <c r="I18" s="19" t="s">
        <v>108</v>
      </c>
      <c r="J18" s="19">
        <v>0</v>
      </c>
      <c r="K18" s="19">
        <f>Sheet3!G23</f>
        <v>0</v>
      </c>
      <c r="L18" s="19">
        <f>Sheet3!H23</f>
        <v>30000</v>
      </c>
      <c r="M18" s="19">
        <f>Sheet3!I23</f>
        <v>0</v>
      </c>
      <c r="N18" s="19">
        <f>Sheet3!J23</f>
        <v>0</v>
      </c>
      <c r="O18" s="19">
        <f>Sheet3!K23</f>
        <v>30000</v>
      </c>
      <c r="P18" s="19">
        <f>Sheet3!L23</f>
        <v>0</v>
      </c>
      <c r="Q18" s="19">
        <f>Sheet3!M23</f>
        <v>30000</v>
      </c>
      <c r="R18" s="19">
        <f>Sheet3!N23</f>
        <v>0</v>
      </c>
      <c r="S18" s="19">
        <f>Sheet3!O23</f>
        <v>0</v>
      </c>
      <c r="T18" s="19">
        <f>Sheet3!P23</f>
        <v>30000</v>
      </c>
      <c r="U18" s="19">
        <f>Sheet3!Q23</f>
        <v>0</v>
      </c>
      <c r="V18" s="19">
        <f>Sheet3!R23</f>
        <v>0</v>
      </c>
      <c r="Z18" s="19" t="s">
        <v>109</v>
      </c>
      <c r="AA18" s="19" t="s">
        <v>37</v>
      </c>
      <c r="AB18" s="19">
        <v>2</v>
      </c>
      <c r="AC18" s="19" t="s">
        <v>87</v>
      </c>
      <c r="AD18" s="19">
        <v>0.2</v>
      </c>
      <c r="AE18" s="19" t="s">
        <v>110</v>
      </c>
      <c r="AF18" s="19" t="s">
        <v>18</v>
      </c>
      <c r="AG18" s="19">
        <v>1</v>
      </c>
      <c r="AH18" s="19">
        <v>0</v>
      </c>
      <c r="AI18" s="19">
        <v>0</v>
      </c>
      <c r="AJ18" s="19">
        <v>1</v>
      </c>
    </row>
    <row r="19" spans="1:36" ht="30" customHeight="1">
      <c r="A19" s="19"/>
      <c r="B19" s="19"/>
      <c r="C19" s="19"/>
      <c r="D19" s="19"/>
      <c r="E19" s="19"/>
      <c r="F19" s="19"/>
      <c r="G19" s="19"/>
      <c r="H19" s="19"/>
      <c r="I19" s="19" t="s">
        <v>111</v>
      </c>
      <c r="J19" s="19">
        <f t="shared" ref="J19:U19" si="0">K18</f>
        <v>0</v>
      </c>
      <c r="K19" s="19">
        <f t="shared" si="0"/>
        <v>30000</v>
      </c>
      <c r="L19" s="19">
        <f t="shared" si="0"/>
        <v>0</v>
      </c>
      <c r="M19" s="19">
        <f t="shared" si="0"/>
        <v>0</v>
      </c>
      <c r="N19" s="19">
        <f t="shared" si="0"/>
        <v>30000</v>
      </c>
      <c r="O19" s="19">
        <f t="shared" si="0"/>
        <v>0</v>
      </c>
      <c r="P19" s="19">
        <f t="shared" si="0"/>
        <v>30000</v>
      </c>
      <c r="Q19" s="19">
        <f t="shared" si="0"/>
        <v>0</v>
      </c>
      <c r="R19" s="19">
        <f t="shared" si="0"/>
        <v>0</v>
      </c>
      <c r="S19" s="19">
        <f t="shared" si="0"/>
        <v>30000</v>
      </c>
      <c r="T19" s="19">
        <f t="shared" si="0"/>
        <v>0</v>
      </c>
      <c r="U19" s="19">
        <f t="shared" si="0"/>
        <v>0</v>
      </c>
      <c r="V19" s="19">
        <v>0</v>
      </c>
      <c r="Z19" s="19" t="s">
        <v>112</v>
      </c>
      <c r="AA19" s="19" t="s">
        <v>41</v>
      </c>
      <c r="AB19" s="19">
        <v>3</v>
      </c>
      <c r="AC19" s="19" t="s">
        <v>98</v>
      </c>
      <c r="AD19" s="19">
        <v>1.04</v>
      </c>
      <c r="AE19" s="19" t="s">
        <v>113</v>
      </c>
      <c r="AF19" s="19" t="s">
        <v>43</v>
      </c>
      <c r="AG19" s="19">
        <v>1</v>
      </c>
      <c r="AH19" s="19">
        <v>0</v>
      </c>
      <c r="AI19" s="19">
        <v>0</v>
      </c>
      <c r="AJ19" s="19">
        <v>1</v>
      </c>
    </row>
    <row r="20" spans="1:36" ht="1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36" ht="15" customHeight="1">
      <c r="A21" s="19">
        <v>1</v>
      </c>
      <c r="B21" s="19">
        <v>1</v>
      </c>
      <c r="C21" s="19">
        <v>0</v>
      </c>
      <c r="D21" s="19">
        <v>0</v>
      </c>
      <c r="E21" s="19">
        <v>0</v>
      </c>
      <c r="F21" s="19">
        <v>1</v>
      </c>
      <c r="G21" s="19" t="s">
        <v>13</v>
      </c>
      <c r="H21" s="19" t="s">
        <v>87</v>
      </c>
      <c r="I21" s="19" t="s">
        <v>71</v>
      </c>
      <c r="J21" s="19">
        <f t="shared" ref="J21:V21" si="1">J19*24</f>
        <v>0</v>
      </c>
      <c r="K21" s="19">
        <f t="shared" si="1"/>
        <v>720000</v>
      </c>
      <c r="L21" s="19">
        <f t="shared" si="1"/>
        <v>0</v>
      </c>
      <c r="M21" s="19">
        <f t="shared" si="1"/>
        <v>0</v>
      </c>
      <c r="N21" s="19">
        <f t="shared" si="1"/>
        <v>720000</v>
      </c>
      <c r="O21" s="19">
        <f t="shared" si="1"/>
        <v>0</v>
      </c>
      <c r="P21" s="19">
        <f t="shared" si="1"/>
        <v>720000</v>
      </c>
      <c r="Q21" s="19">
        <f t="shared" si="1"/>
        <v>0</v>
      </c>
      <c r="R21" s="19">
        <f t="shared" si="1"/>
        <v>0</v>
      </c>
      <c r="S21" s="19">
        <f t="shared" si="1"/>
        <v>720000</v>
      </c>
      <c r="T21" s="19">
        <f t="shared" si="1"/>
        <v>0</v>
      </c>
      <c r="U21" s="19">
        <f t="shared" si="1"/>
        <v>0</v>
      </c>
      <c r="V21" s="19">
        <f t="shared" si="1"/>
        <v>0</v>
      </c>
    </row>
    <row r="22" spans="1:36" ht="15" customHeight="1">
      <c r="A22" s="19"/>
      <c r="B22" s="19"/>
      <c r="C22" s="19"/>
      <c r="D22" s="19"/>
      <c r="E22" s="19"/>
      <c r="F22" s="19"/>
      <c r="G22" s="19"/>
      <c r="H22" s="19"/>
      <c r="I22" s="19" t="s">
        <v>72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</row>
    <row r="23" spans="1:36" ht="15" customHeight="1">
      <c r="A23" s="19"/>
      <c r="B23" s="19"/>
      <c r="C23" s="19"/>
      <c r="D23" s="19"/>
      <c r="E23" s="19"/>
      <c r="F23" s="19"/>
      <c r="G23" s="19"/>
      <c r="H23" s="19"/>
      <c r="I23" s="19" t="s">
        <v>114</v>
      </c>
      <c r="J23" s="19">
        <f>C21-D21+J22-J21</f>
        <v>0</v>
      </c>
      <c r="K23" s="19">
        <f t="shared" ref="K23:V23" si="2">J25+K22-K21</f>
        <v>-720000</v>
      </c>
      <c r="L23" s="19">
        <f t="shared" si="2"/>
        <v>0</v>
      </c>
      <c r="M23" s="19">
        <f t="shared" si="2"/>
        <v>0</v>
      </c>
      <c r="N23" s="19">
        <f t="shared" si="2"/>
        <v>-720000</v>
      </c>
      <c r="O23" s="19">
        <f t="shared" si="2"/>
        <v>0</v>
      </c>
      <c r="P23" s="19">
        <f t="shared" si="2"/>
        <v>-720000</v>
      </c>
      <c r="Q23" s="19">
        <f t="shared" si="2"/>
        <v>0</v>
      </c>
      <c r="R23" s="19">
        <f t="shared" si="2"/>
        <v>0</v>
      </c>
      <c r="S23" s="19">
        <f t="shared" si="2"/>
        <v>-720000</v>
      </c>
      <c r="T23" s="19">
        <f t="shared" si="2"/>
        <v>0</v>
      </c>
      <c r="U23" s="19">
        <f t="shared" si="2"/>
        <v>0</v>
      </c>
      <c r="V23" s="19">
        <f t="shared" si="2"/>
        <v>0</v>
      </c>
    </row>
    <row r="24" spans="1:36" ht="15" customHeight="1">
      <c r="A24" s="19"/>
      <c r="B24" s="19"/>
      <c r="C24" s="19"/>
      <c r="D24" s="19"/>
      <c r="E24" s="19"/>
      <c r="F24" s="19"/>
      <c r="G24" s="19"/>
      <c r="H24" s="19"/>
      <c r="I24" s="19" t="s">
        <v>74</v>
      </c>
      <c r="J24" s="19">
        <f t="shared" ref="J24:V24" si="3">IF(J23-$E21&gt;0,0,$E21-J23)</f>
        <v>0</v>
      </c>
      <c r="K24" s="19">
        <f t="shared" si="3"/>
        <v>720000</v>
      </c>
      <c r="L24" s="19">
        <f t="shared" si="3"/>
        <v>0</v>
      </c>
      <c r="M24" s="19">
        <f t="shared" si="3"/>
        <v>0</v>
      </c>
      <c r="N24" s="19">
        <f t="shared" si="3"/>
        <v>720000</v>
      </c>
      <c r="O24" s="19">
        <f t="shared" si="3"/>
        <v>0</v>
      </c>
      <c r="P24" s="19">
        <f t="shared" si="3"/>
        <v>720000</v>
      </c>
      <c r="Q24" s="19">
        <f t="shared" si="3"/>
        <v>0</v>
      </c>
      <c r="R24" s="19">
        <f t="shared" si="3"/>
        <v>0</v>
      </c>
      <c r="S24" s="19">
        <f t="shared" si="3"/>
        <v>720000</v>
      </c>
      <c r="T24" s="19">
        <f t="shared" si="3"/>
        <v>0</v>
      </c>
      <c r="U24" s="19">
        <f t="shared" si="3"/>
        <v>0</v>
      </c>
      <c r="V24" s="19">
        <f t="shared" si="3"/>
        <v>0</v>
      </c>
    </row>
    <row r="25" spans="1:36" ht="30" customHeight="1">
      <c r="A25" s="19"/>
      <c r="B25" s="19"/>
      <c r="C25" s="19"/>
      <c r="D25" s="19"/>
      <c r="E25" s="19"/>
      <c r="F25" s="19"/>
      <c r="G25" s="19"/>
      <c r="H25" s="19"/>
      <c r="I25" s="19" t="s">
        <v>115</v>
      </c>
      <c r="J25" s="19">
        <f t="shared" ref="J25:V25" si="4">J23+J26</f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9">
        <f t="shared" si="4"/>
        <v>0</v>
      </c>
      <c r="P25" s="19">
        <f t="shared" si="4"/>
        <v>0</v>
      </c>
      <c r="Q25" s="19">
        <f t="shared" si="4"/>
        <v>0</v>
      </c>
      <c r="R25" s="19">
        <f t="shared" si="4"/>
        <v>0</v>
      </c>
      <c r="S25" s="19">
        <f t="shared" si="4"/>
        <v>0</v>
      </c>
      <c r="T25" s="19">
        <f t="shared" si="4"/>
        <v>0</v>
      </c>
      <c r="U25" s="19">
        <f t="shared" si="4"/>
        <v>0</v>
      </c>
      <c r="V25" s="19">
        <f t="shared" si="4"/>
        <v>0</v>
      </c>
    </row>
    <row r="26" spans="1:36" ht="15" customHeight="1">
      <c r="A26" s="19"/>
      <c r="B26" s="19"/>
      <c r="C26" s="19"/>
      <c r="D26" s="19"/>
      <c r="E26" s="19"/>
      <c r="F26" s="19"/>
      <c r="G26" s="19"/>
      <c r="I26" s="19" t="s">
        <v>75</v>
      </c>
      <c r="J26" s="19">
        <f t="shared" ref="J26:V26" si="5">ROUNDUP(J24/$F21,0)*$F21</f>
        <v>0</v>
      </c>
      <c r="K26" s="19">
        <f t="shared" si="5"/>
        <v>720000</v>
      </c>
      <c r="L26" s="19">
        <f t="shared" si="5"/>
        <v>0</v>
      </c>
      <c r="M26" s="19">
        <f t="shared" si="5"/>
        <v>0</v>
      </c>
      <c r="N26" s="19">
        <f t="shared" si="5"/>
        <v>720000</v>
      </c>
      <c r="O26" s="19">
        <f t="shared" si="5"/>
        <v>0</v>
      </c>
      <c r="P26" s="19">
        <f t="shared" si="5"/>
        <v>720000</v>
      </c>
      <c r="Q26" s="19">
        <f t="shared" si="5"/>
        <v>0</v>
      </c>
      <c r="R26" s="19">
        <f t="shared" si="5"/>
        <v>0</v>
      </c>
      <c r="S26" s="19">
        <f t="shared" si="5"/>
        <v>720000</v>
      </c>
      <c r="T26" s="19">
        <f t="shared" si="5"/>
        <v>0</v>
      </c>
      <c r="U26" s="19">
        <f t="shared" si="5"/>
        <v>0</v>
      </c>
      <c r="V26" s="19">
        <f t="shared" si="5"/>
        <v>0</v>
      </c>
    </row>
    <row r="27" spans="1:36" ht="15" customHeight="1">
      <c r="A27" s="19"/>
      <c r="B27" s="19"/>
      <c r="C27" s="19"/>
      <c r="D27" s="19"/>
      <c r="E27" s="19"/>
      <c r="F27" s="19"/>
      <c r="G27" s="19"/>
      <c r="H27" s="19"/>
      <c r="I27" s="19" t="s">
        <v>116</v>
      </c>
      <c r="J27" s="19">
        <f t="shared" ref="J27:V27" si="6">K26</f>
        <v>720000</v>
      </c>
      <c r="K27" s="19">
        <f t="shared" si="6"/>
        <v>0</v>
      </c>
      <c r="L27" s="19">
        <f t="shared" si="6"/>
        <v>0</v>
      </c>
      <c r="M27" s="19">
        <f t="shared" si="6"/>
        <v>720000</v>
      </c>
      <c r="N27" s="19">
        <f t="shared" si="6"/>
        <v>0</v>
      </c>
      <c r="O27" s="19">
        <f t="shared" si="6"/>
        <v>720000</v>
      </c>
      <c r="P27" s="19">
        <f t="shared" si="6"/>
        <v>0</v>
      </c>
      <c r="Q27" s="19">
        <f t="shared" si="6"/>
        <v>0</v>
      </c>
      <c r="R27" s="19">
        <f t="shared" si="6"/>
        <v>720000</v>
      </c>
      <c r="S27" s="19">
        <f t="shared" si="6"/>
        <v>0</v>
      </c>
      <c r="T27" s="19">
        <f t="shared" si="6"/>
        <v>0</v>
      </c>
      <c r="U27" s="19">
        <f t="shared" si="6"/>
        <v>0</v>
      </c>
      <c r="V27" s="19">
        <f t="shared" si="6"/>
        <v>0</v>
      </c>
    </row>
    <row r="28" spans="1:36" ht="1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36" ht="15" customHeight="1">
      <c r="A29" s="19">
        <v>1</v>
      </c>
      <c r="B29" s="19">
        <v>1</v>
      </c>
      <c r="C29" s="19">
        <v>0</v>
      </c>
      <c r="D29" s="19">
        <v>0</v>
      </c>
      <c r="E29" s="19">
        <v>0</v>
      </c>
      <c r="F29" s="19">
        <v>1</v>
      </c>
      <c r="G29" s="19" t="s">
        <v>17</v>
      </c>
      <c r="H29" s="19" t="s">
        <v>90</v>
      </c>
      <c r="I29" s="19" t="s">
        <v>71</v>
      </c>
      <c r="J29" s="19">
        <f t="shared" ref="J29:V29" si="7">J19*1</f>
        <v>0</v>
      </c>
      <c r="K29" s="19">
        <f t="shared" si="7"/>
        <v>30000</v>
      </c>
      <c r="L29" s="19">
        <f t="shared" si="7"/>
        <v>0</v>
      </c>
      <c r="M29" s="19">
        <f t="shared" si="7"/>
        <v>0</v>
      </c>
      <c r="N29" s="19">
        <f t="shared" si="7"/>
        <v>30000</v>
      </c>
      <c r="O29" s="19">
        <f t="shared" si="7"/>
        <v>0</v>
      </c>
      <c r="P29" s="19">
        <f t="shared" si="7"/>
        <v>30000</v>
      </c>
      <c r="Q29" s="19">
        <f t="shared" si="7"/>
        <v>0</v>
      </c>
      <c r="R29" s="19">
        <f t="shared" si="7"/>
        <v>0</v>
      </c>
      <c r="S29" s="19">
        <f t="shared" si="7"/>
        <v>30000</v>
      </c>
      <c r="T29" s="19">
        <f t="shared" si="7"/>
        <v>0</v>
      </c>
      <c r="U29" s="19">
        <f t="shared" si="7"/>
        <v>0</v>
      </c>
      <c r="V29" s="19">
        <f t="shared" si="7"/>
        <v>0</v>
      </c>
    </row>
    <row r="30" spans="1:36" ht="15" customHeight="1">
      <c r="A30" s="19"/>
      <c r="B30" s="19"/>
      <c r="C30" s="19"/>
      <c r="D30" s="19"/>
      <c r="E30" s="19"/>
      <c r="F30" s="19"/>
      <c r="G30" s="19"/>
      <c r="H30" s="19"/>
      <c r="I30" s="19" t="s">
        <v>72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</row>
    <row r="31" spans="1:36" ht="15" customHeight="1">
      <c r="A31" s="19"/>
      <c r="B31" s="19"/>
      <c r="C31" s="19"/>
      <c r="D31" s="19"/>
      <c r="E31" s="19"/>
      <c r="F31" s="19"/>
      <c r="G31" s="19"/>
      <c r="H31" s="19"/>
      <c r="I31" s="19" t="s">
        <v>114</v>
      </c>
      <c r="J31" s="19">
        <f>C29-D29+J30-J29</f>
        <v>0</v>
      </c>
      <c r="K31" s="19">
        <f t="shared" ref="K31:V31" si="8">J33+K30-K29</f>
        <v>-30000</v>
      </c>
      <c r="L31" s="19">
        <f t="shared" si="8"/>
        <v>0</v>
      </c>
      <c r="M31" s="19">
        <f t="shared" si="8"/>
        <v>0</v>
      </c>
      <c r="N31" s="19">
        <f t="shared" si="8"/>
        <v>-30000</v>
      </c>
      <c r="O31" s="19">
        <f t="shared" si="8"/>
        <v>0</v>
      </c>
      <c r="P31" s="19">
        <f t="shared" si="8"/>
        <v>-30000</v>
      </c>
      <c r="Q31" s="19">
        <f t="shared" si="8"/>
        <v>0</v>
      </c>
      <c r="R31" s="19">
        <f t="shared" si="8"/>
        <v>0</v>
      </c>
      <c r="S31" s="19">
        <f t="shared" si="8"/>
        <v>-30000</v>
      </c>
      <c r="T31" s="19">
        <f t="shared" si="8"/>
        <v>0</v>
      </c>
      <c r="U31" s="19">
        <f t="shared" si="8"/>
        <v>0</v>
      </c>
      <c r="V31" s="19">
        <f t="shared" si="8"/>
        <v>0</v>
      </c>
    </row>
    <row r="32" spans="1:36" ht="15" customHeight="1">
      <c r="A32" s="19"/>
      <c r="B32" s="19"/>
      <c r="C32" s="19"/>
      <c r="D32" s="19"/>
      <c r="E32" s="19"/>
      <c r="F32" s="19"/>
      <c r="G32" s="19"/>
      <c r="H32" s="19"/>
      <c r="I32" s="19" t="s">
        <v>74</v>
      </c>
      <c r="J32" s="19">
        <f t="shared" ref="J32:V32" si="9">IF(J31-$E29&gt;0,0,$E29-J31)</f>
        <v>0</v>
      </c>
      <c r="K32" s="19">
        <f t="shared" si="9"/>
        <v>30000</v>
      </c>
      <c r="L32" s="19">
        <f t="shared" si="9"/>
        <v>0</v>
      </c>
      <c r="M32" s="19">
        <f t="shared" si="9"/>
        <v>0</v>
      </c>
      <c r="N32" s="19">
        <f t="shared" si="9"/>
        <v>30000</v>
      </c>
      <c r="O32" s="19">
        <f t="shared" si="9"/>
        <v>0</v>
      </c>
      <c r="P32" s="19">
        <f t="shared" si="9"/>
        <v>30000</v>
      </c>
      <c r="Q32" s="19">
        <f t="shared" si="9"/>
        <v>0</v>
      </c>
      <c r="R32" s="19">
        <f t="shared" si="9"/>
        <v>0</v>
      </c>
      <c r="S32" s="19">
        <f t="shared" si="9"/>
        <v>30000</v>
      </c>
      <c r="T32" s="19">
        <f t="shared" si="9"/>
        <v>0</v>
      </c>
      <c r="U32" s="19">
        <f t="shared" si="9"/>
        <v>0</v>
      </c>
      <c r="V32" s="19">
        <f t="shared" si="9"/>
        <v>0</v>
      </c>
    </row>
    <row r="33" spans="1:22" ht="30" customHeight="1">
      <c r="A33" s="19"/>
      <c r="B33" s="19"/>
      <c r="C33" s="19"/>
      <c r="D33" s="19"/>
      <c r="E33" s="19"/>
      <c r="F33" s="19"/>
      <c r="G33" s="19"/>
      <c r="H33" s="19"/>
      <c r="I33" s="19" t="s">
        <v>115</v>
      </c>
      <c r="J33" s="19">
        <f t="shared" ref="J33:V33" si="10">J31+J34</f>
        <v>0</v>
      </c>
      <c r="K33" s="19">
        <f t="shared" si="10"/>
        <v>0</v>
      </c>
      <c r="L33" s="19">
        <f t="shared" si="10"/>
        <v>0</v>
      </c>
      <c r="M33" s="19">
        <f t="shared" si="10"/>
        <v>0</v>
      </c>
      <c r="N33" s="19">
        <f t="shared" si="10"/>
        <v>0</v>
      </c>
      <c r="O33" s="19">
        <f t="shared" si="10"/>
        <v>0</v>
      </c>
      <c r="P33" s="19">
        <f t="shared" si="10"/>
        <v>0</v>
      </c>
      <c r="Q33" s="19">
        <f t="shared" si="10"/>
        <v>0</v>
      </c>
      <c r="R33" s="19">
        <f t="shared" si="10"/>
        <v>0</v>
      </c>
      <c r="S33" s="19">
        <f t="shared" si="10"/>
        <v>0</v>
      </c>
      <c r="T33" s="19">
        <f t="shared" si="10"/>
        <v>0</v>
      </c>
      <c r="U33" s="19">
        <f t="shared" si="10"/>
        <v>0</v>
      </c>
      <c r="V33" s="19">
        <f t="shared" si="10"/>
        <v>0</v>
      </c>
    </row>
    <row r="34" spans="1:22" ht="15" customHeight="1">
      <c r="A34" s="19"/>
      <c r="B34" s="19"/>
      <c r="C34" s="19"/>
      <c r="D34" s="19"/>
      <c r="E34" s="19"/>
      <c r="F34" s="19"/>
      <c r="G34" s="19"/>
      <c r="H34" s="19"/>
      <c r="I34" s="19" t="s">
        <v>75</v>
      </c>
      <c r="J34" s="19">
        <f t="shared" ref="J34:V34" si="11">ROUNDUP(J32/$F29,0)*$F29</f>
        <v>0</v>
      </c>
      <c r="K34" s="19">
        <f t="shared" si="11"/>
        <v>30000</v>
      </c>
      <c r="L34" s="19">
        <f t="shared" si="11"/>
        <v>0</v>
      </c>
      <c r="M34" s="19">
        <f t="shared" si="11"/>
        <v>0</v>
      </c>
      <c r="N34" s="19">
        <f t="shared" si="11"/>
        <v>30000</v>
      </c>
      <c r="O34" s="19">
        <f t="shared" si="11"/>
        <v>0</v>
      </c>
      <c r="P34" s="19">
        <f t="shared" si="11"/>
        <v>30000</v>
      </c>
      <c r="Q34" s="19">
        <f t="shared" si="11"/>
        <v>0</v>
      </c>
      <c r="R34" s="19">
        <f t="shared" si="11"/>
        <v>0</v>
      </c>
      <c r="S34" s="19">
        <f t="shared" si="11"/>
        <v>30000</v>
      </c>
      <c r="T34" s="19">
        <f t="shared" si="11"/>
        <v>0</v>
      </c>
      <c r="U34" s="19">
        <f t="shared" si="11"/>
        <v>0</v>
      </c>
      <c r="V34" s="19">
        <f t="shared" si="11"/>
        <v>0</v>
      </c>
    </row>
    <row r="35" spans="1:22" ht="15" customHeight="1">
      <c r="A35" s="19"/>
      <c r="B35" s="19"/>
      <c r="C35" s="19"/>
      <c r="D35" s="19"/>
      <c r="E35" s="19"/>
      <c r="F35" s="19"/>
      <c r="G35" s="19"/>
      <c r="H35" s="19"/>
      <c r="I35" s="19" t="s">
        <v>116</v>
      </c>
      <c r="J35" s="19">
        <f t="shared" ref="J35:V35" si="12">K34</f>
        <v>30000</v>
      </c>
      <c r="K35" s="19">
        <f t="shared" si="12"/>
        <v>0</v>
      </c>
      <c r="L35" s="19">
        <f t="shared" si="12"/>
        <v>0</v>
      </c>
      <c r="M35" s="19">
        <f t="shared" si="12"/>
        <v>30000</v>
      </c>
      <c r="N35" s="19">
        <f t="shared" si="12"/>
        <v>0</v>
      </c>
      <c r="O35" s="19">
        <f t="shared" si="12"/>
        <v>30000</v>
      </c>
      <c r="P35" s="19">
        <f t="shared" si="12"/>
        <v>0</v>
      </c>
      <c r="Q35" s="19">
        <f t="shared" si="12"/>
        <v>0</v>
      </c>
      <c r="R35" s="19">
        <f t="shared" si="12"/>
        <v>30000</v>
      </c>
      <c r="S35" s="19">
        <f t="shared" si="12"/>
        <v>0</v>
      </c>
      <c r="T35" s="19">
        <f t="shared" si="12"/>
        <v>0</v>
      </c>
      <c r="U35" s="19">
        <f t="shared" si="12"/>
        <v>0</v>
      </c>
      <c r="V35" s="19">
        <f t="shared" si="12"/>
        <v>0</v>
      </c>
    </row>
    <row r="36" spans="1:22" ht="15" customHeight="1">
      <c r="A36" s="19">
        <v>1</v>
      </c>
      <c r="B36" s="19">
        <v>1</v>
      </c>
      <c r="C36" s="19">
        <v>0</v>
      </c>
      <c r="D36" s="19">
        <v>0</v>
      </c>
      <c r="E36" s="19">
        <v>0</v>
      </c>
      <c r="F36" s="19">
        <v>1</v>
      </c>
      <c r="G36" s="19" t="s">
        <v>22</v>
      </c>
      <c r="H36" s="19" t="s">
        <v>92</v>
      </c>
      <c r="I36" s="19" t="s">
        <v>71</v>
      </c>
      <c r="J36" s="19">
        <f t="shared" ref="J36:V36" si="13">J19*0.5</f>
        <v>0</v>
      </c>
      <c r="K36" s="19">
        <f t="shared" si="13"/>
        <v>15000</v>
      </c>
      <c r="L36" s="19">
        <f t="shared" si="13"/>
        <v>0</v>
      </c>
      <c r="M36" s="19">
        <f t="shared" si="13"/>
        <v>0</v>
      </c>
      <c r="N36" s="19">
        <f t="shared" si="13"/>
        <v>15000</v>
      </c>
      <c r="O36" s="19">
        <f t="shared" si="13"/>
        <v>0</v>
      </c>
      <c r="P36" s="19">
        <f t="shared" si="13"/>
        <v>15000</v>
      </c>
      <c r="Q36" s="19">
        <f t="shared" si="13"/>
        <v>0</v>
      </c>
      <c r="R36" s="19">
        <f t="shared" si="13"/>
        <v>0</v>
      </c>
      <c r="S36" s="19">
        <f t="shared" si="13"/>
        <v>15000</v>
      </c>
      <c r="T36" s="19">
        <f t="shared" si="13"/>
        <v>0</v>
      </c>
      <c r="U36" s="19">
        <f t="shared" si="13"/>
        <v>0</v>
      </c>
      <c r="V36" s="19">
        <f t="shared" si="13"/>
        <v>0</v>
      </c>
    </row>
    <row r="37" spans="1:22" ht="15" customHeight="1">
      <c r="A37" s="19"/>
      <c r="B37" s="19"/>
      <c r="C37" s="19"/>
      <c r="D37" s="19"/>
      <c r="E37" s="19"/>
      <c r="F37" s="19"/>
      <c r="G37" s="19"/>
      <c r="H37" s="19"/>
      <c r="I37" s="19" t="s">
        <v>72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</row>
    <row r="38" spans="1:22" ht="15" customHeight="1">
      <c r="A38" s="19"/>
      <c r="B38" s="19"/>
      <c r="C38" s="19"/>
      <c r="D38" s="19"/>
      <c r="E38" s="19"/>
      <c r="F38" s="19"/>
      <c r="G38" s="19"/>
      <c r="H38" s="19"/>
      <c r="I38" s="19" t="s">
        <v>114</v>
      </c>
      <c r="J38" s="19">
        <f>C36-D36+J37-J36</f>
        <v>0</v>
      </c>
      <c r="K38" s="19">
        <f t="shared" ref="K38:V38" si="14">J40+K37-K36</f>
        <v>-15000</v>
      </c>
      <c r="L38" s="19">
        <f t="shared" si="14"/>
        <v>0</v>
      </c>
      <c r="M38" s="19">
        <f t="shared" si="14"/>
        <v>0</v>
      </c>
      <c r="N38" s="19">
        <f t="shared" si="14"/>
        <v>-15000</v>
      </c>
      <c r="O38" s="19">
        <f t="shared" si="14"/>
        <v>0</v>
      </c>
      <c r="P38" s="19">
        <f t="shared" si="14"/>
        <v>-15000</v>
      </c>
      <c r="Q38" s="19">
        <f t="shared" si="14"/>
        <v>0</v>
      </c>
      <c r="R38" s="19">
        <f t="shared" si="14"/>
        <v>0</v>
      </c>
      <c r="S38" s="19">
        <f t="shared" si="14"/>
        <v>-15000</v>
      </c>
      <c r="T38" s="19">
        <f t="shared" si="14"/>
        <v>0</v>
      </c>
      <c r="U38" s="19">
        <f t="shared" si="14"/>
        <v>0</v>
      </c>
      <c r="V38" s="19">
        <f t="shared" si="14"/>
        <v>0</v>
      </c>
    </row>
    <row r="39" spans="1:22" ht="15" customHeight="1">
      <c r="A39" s="19"/>
      <c r="B39" s="19"/>
      <c r="C39" s="19"/>
      <c r="D39" s="19"/>
      <c r="E39" s="19"/>
      <c r="F39" s="19"/>
      <c r="G39" s="19"/>
      <c r="H39" s="19"/>
      <c r="I39" s="19" t="s">
        <v>74</v>
      </c>
      <c r="J39" s="19">
        <f t="shared" ref="J39:V39" si="15">IF(J38-$E36&gt;0,0,$E36-J38)</f>
        <v>0</v>
      </c>
      <c r="K39" s="19">
        <f t="shared" si="15"/>
        <v>15000</v>
      </c>
      <c r="L39" s="19">
        <f t="shared" si="15"/>
        <v>0</v>
      </c>
      <c r="M39" s="19">
        <f t="shared" si="15"/>
        <v>0</v>
      </c>
      <c r="N39" s="19">
        <f t="shared" si="15"/>
        <v>15000</v>
      </c>
      <c r="O39" s="19">
        <f t="shared" si="15"/>
        <v>0</v>
      </c>
      <c r="P39" s="19">
        <f t="shared" si="15"/>
        <v>15000</v>
      </c>
      <c r="Q39" s="19">
        <f t="shared" si="15"/>
        <v>0</v>
      </c>
      <c r="R39" s="19">
        <f t="shared" si="15"/>
        <v>0</v>
      </c>
      <c r="S39" s="19">
        <f t="shared" si="15"/>
        <v>15000</v>
      </c>
      <c r="T39" s="19">
        <f t="shared" si="15"/>
        <v>0</v>
      </c>
      <c r="U39" s="19">
        <f t="shared" si="15"/>
        <v>0</v>
      </c>
      <c r="V39" s="19">
        <f t="shared" si="15"/>
        <v>0</v>
      </c>
    </row>
    <row r="40" spans="1:22" ht="30" customHeight="1">
      <c r="A40" s="19"/>
      <c r="B40" s="19"/>
      <c r="C40" s="19"/>
      <c r="D40" s="19"/>
      <c r="E40" s="19"/>
      <c r="F40" s="19"/>
      <c r="G40" s="19"/>
      <c r="H40" s="19"/>
      <c r="I40" s="19" t="s">
        <v>115</v>
      </c>
      <c r="J40" s="19">
        <f t="shared" ref="J40:V40" si="16">J38+J41</f>
        <v>0</v>
      </c>
      <c r="K40" s="19">
        <f t="shared" si="16"/>
        <v>0</v>
      </c>
      <c r="L40" s="19">
        <f t="shared" si="16"/>
        <v>0</v>
      </c>
      <c r="M40" s="19">
        <f t="shared" si="16"/>
        <v>0</v>
      </c>
      <c r="N40" s="19">
        <f t="shared" si="16"/>
        <v>0</v>
      </c>
      <c r="O40" s="19">
        <f t="shared" si="16"/>
        <v>0</v>
      </c>
      <c r="P40" s="19">
        <f t="shared" si="16"/>
        <v>0</v>
      </c>
      <c r="Q40" s="19">
        <f t="shared" si="16"/>
        <v>0</v>
      </c>
      <c r="R40" s="19">
        <f t="shared" si="16"/>
        <v>0</v>
      </c>
      <c r="S40" s="19">
        <f t="shared" si="16"/>
        <v>0</v>
      </c>
      <c r="T40" s="19">
        <f t="shared" si="16"/>
        <v>0</v>
      </c>
      <c r="U40" s="19">
        <f t="shared" si="16"/>
        <v>0</v>
      </c>
      <c r="V40" s="19">
        <f t="shared" si="16"/>
        <v>0</v>
      </c>
    </row>
    <row r="41" spans="1:22" ht="15" customHeight="1">
      <c r="A41" s="19"/>
      <c r="B41" s="19"/>
      <c r="C41" s="19"/>
      <c r="D41" s="19"/>
      <c r="E41" s="19"/>
      <c r="F41" s="19"/>
      <c r="G41" s="19"/>
      <c r="H41" s="19"/>
      <c r="I41" s="19" t="s">
        <v>75</v>
      </c>
      <c r="J41" s="19">
        <f t="shared" ref="J41:V41" si="17">ROUNDUP(J39/$F36,0)*$F36</f>
        <v>0</v>
      </c>
      <c r="K41" s="19">
        <f t="shared" si="17"/>
        <v>15000</v>
      </c>
      <c r="L41" s="19">
        <f t="shared" si="17"/>
        <v>0</v>
      </c>
      <c r="M41" s="19">
        <f t="shared" si="17"/>
        <v>0</v>
      </c>
      <c r="N41" s="19">
        <f t="shared" si="17"/>
        <v>15000</v>
      </c>
      <c r="O41" s="19">
        <f t="shared" si="17"/>
        <v>0</v>
      </c>
      <c r="P41" s="19">
        <f t="shared" si="17"/>
        <v>15000</v>
      </c>
      <c r="Q41" s="19">
        <f t="shared" si="17"/>
        <v>0</v>
      </c>
      <c r="R41" s="19">
        <f t="shared" si="17"/>
        <v>0</v>
      </c>
      <c r="S41" s="19">
        <f t="shared" si="17"/>
        <v>15000</v>
      </c>
      <c r="T41" s="19">
        <f t="shared" si="17"/>
        <v>0</v>
      </c>
      <c r="U41" s="19">
        <f t="shared" si="17"/>
        <v>0</v>
      </c>
      <c r="V41" s="19">
        <f t="shared" si="17"/>
        <v>0</v>
      </c>
    </row>
    <row r="42" spans="1:22" ht="15" customHeight="1">
      <c r="A42" s="19"/>
      <c r="B42" s="19"/>
      <c r="C42" s="19"/>
      <c r="D42" s="19"/>
      <c r="E42" s="19"/>
      <c r="F42" s="19"/>
      <c r="G42" s="19"/>
      <c r="H42" s="19"/>
      <c r="I42" s="19" t="s">
        <v>116</v>
      </c>
      <c r="J42" s="19">
        <f t="shared" ref="J42:V42" si="18">K41</f>
        <v>15000</v>
      </c>
      <c r="K42" s="19">
        <f t="shared" si="18"/>
        <v>0</v>
      </c>
      <c r="L42" s="19">
        <f t="shared" si="18"/>
        <v>0</v>
      </c>
      <c r="M42" s="19">
        <f t="shared" si="18"/>
        <v>15000</v>
      </c>
      <c r="N42" s="19">
        <f t="shared" si="18"/>
        <v>0</v>
      </c>
      <c r="O42" s="19">
        <f t="shared" si="18"/>
        <v>15000</v>
      </c>
      <c r="P42" s="19">
        <f t="shared" si="18"/>
        <v>0</v>
      </c>
      <c r="Q42" s="19">
        <f t="shared" si="18"/>
        <v>0</v>
      </c>
      <c r="R42" s="19">
        <f t="shared" si="18"/>
        <v>15000</v>
      </c>
      <c r="S42" s="19">
        <f t="shared" si="18"/>
        <v>0</v>
      </c>
      <c r="T42" s="19">
        <f t="shared" si="18"/>
        <v>0</v>
      </c>
      <c r="U42" s="19">
        <f t="shared" si="18"/>
        <v>0</v>
      </c>
      <c r="V42" s="19">
        <f t="shared" si="18"/>
        <v>0</v>
      </c>
    </row>
    <row r="43" spans="1:22" ht="15" customHeight="1">
      <c r="A43" s="19">
        <v>2</v>
      </c>
      <c r="B43" s="19">
        <v>1</v>
      </c>
      <c r="C43" s="19">
        <v>0</v>
      </c>
      <c r="D43" s="19">
        <v>0</v>
      </c>
      <c r="E43" s="19">
        <v>0</v>
      </c>
      <c r="F43" s="19">
        <v>1</v>
      </c>
      <c r="G43" s="19" t="s">
        <v>17</v>
      </c>
      <c r="H43" s="19" t="s">
        <v>94</v>
      </c>
      <c r="I43" s="19" t="s">
        <v>71</v>
      </c>
      <c r="J43" s="19">
        <f t="shared" ref="J43:V43" si="19">J35*1</f>
        <v>30000</v>
      </c>
      <c r="K43" s="19">
        <f t="shared" si="19"/>
        <v>0</v>
      </c>
      <c r="L43" s="19">
        <f t="shared" si="19"/>
        <v>0</v>
      </c>
      <c r="M43" s="19">
        <f t="shared" si="19"/>
        <v>30000</v>
      </c>
      <c r="N43" s="19">
        <f t="shared" si="19"/>
        <v>0</v>
      </c>
      <c r="O43" s="19">
        <f t="shared" si="19"/>
        <v>30000</v>
      </c>
      <c r="P43" s="19">
        <f t="shared" si="19"/>
        <v>0</v>
      </c>
      <c r="Q43" s="19">
        <f t="shared" si="19"/>
        <v>0</v>
      </c>
      <c r="R43" s="19">
        <f t="shared" si="19"/>
        <v>30000</v>
      </c>
      <c r="S43" s="19">
        <f t="shared" si="19"/>
        <v>0</v>
      </c>
      <c r="T43" s="19">
        <f t="shared" si="19"/>
        <v>0</v>
      </c>
      <c r="U43" s="19">
        <f t="shared" si="19"/>
        <v>0</v>
      </c>
      <c r="V43" s="19">
        <f t="shared" si="19"/>
        <v>0</v>
      </c>
    </row>
    <row r="44" spans="1:22" ht="15" customHeight="1">
      <c r="A44" s="19"/>
      <c r="B44" s="19"/>
      <c r="C44" s="19"/>
      <c r="D44" s="19"/>
      <c r="E44" s="19"/>
      <c r="F44" s="19"/>
      <c r="G44" s="19"/>
      <c r="H44" s="19"/>
      <c r="I44" s="19" t="s">
        <v>72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</row>
    <row r="45" spans="1:22" ht="15" customHeight="1">
      <c r="A45" s="19"/>
      <c r="B45" s="19"/>
      <c r="C45" s="19"/>
      <c r="D45" s="19"/>
      <c r="E45" s="19"/>
      <c r="F45" s="19"/>
      <c r="G45" s="19"/>
      <c r="H45" s="19"/>
      <c r="I45" s="19" t="s">
        <v>114</v>
      </c>
      <c r="J45" s="19">
        <f>C43-D43+J44-J43</f>
        <v>-30000</v>
      </c>
      <c r="K45" s="19">
        <f t="shared" ref="K45:V45" si="20">J47+K44-K43</f>
        <v>0</v>
      </c>
      <c r="L45" s="19">
        <f t="shared" si="20"/>
        <v>0</v>
      </c>
      <c r="M45" s="19">
        <f t="shared" si="20"/>
        <v>-30000</v>
      </c>
      <c r="N45" s="19">
        <f t="shared" si="20"/>
        <v>0</v>
      </c>
      <c r="O45" s="19">
        <f t="shared" si="20"/>
        <v>-30000</v>
      </c>
      <c r="P45" s="19">
        <f t="shared" si="20"/>
        <v>0</v>
      </c>
      <c r="Q45" s="19">
        <f t="shared" si="20"/>
        <v>0</v>
      </c>
      <c r="R45" s="19">
        <f t="shared" si="20"/>
        <v>-30000</v>
      </c>
      <c r="S45" s="19">
        <f t="shared" si="20"/>
        <v>0</v>
      </c>
      <c r="T45" s="19">
        <f t="shared" si="20"/>
        <v>0</v>
      </c>
      <c r="U45" s="19">
        <f t="shared" si="20"/>
        <v>0</v>
      </c>
      <c r="V45" s="19">
        <f t="shared" si="20"/>
        <v>0</v>
      </c>
    </row>
    <row r="46" spans="1:22" ht="15" customHeight="1">
      <c r="A46" s="19"/>
      <c r="B46" s="19"/>
      <c r="C46" s="19"/>
      <c r="D46" s="19"/>
      <c r="E46" s="19"/>
      <c r="F46" s="19"/>
      <c r="G46" s="19"/>
      <c r="H46" s="19"/>
      <c r="I46" s="19" t="s">
        <v>74</v>
      </c>
      <c r="J46" s="19">
        <f t="shared" ref="J46:V46" si="21">IF(J45-$E43&gt;0,0,$E43-J45)</f>
        <v>30000</v>
      </c>
      <c r="K46" s="19">
        <f t="shared" si="21"/>
        <v>0</v>
      </c>
      <c r="L46" s="19">
        <f t="shared" si="21"/>
        <v>0</v>
      </c>
      <c r="M46" s="19">
        <f t="shared" si="21"/>
        <v>30000</v>
      </c>
      <c r="N46" s="19">
        <f t="shared" si="21"/>
        <v>0</v>
      </c>
      <c r="O46" s="19">
        <f t="shared" si="21"/>
        <v>30000</v>
      </c>
      <c r="P46" s="19">
        <f t="shared" si="21"/>
        <v>0</v>
      </c>
      <c r="Q46" s="19">
        <f t="shared" si="21"/>
        <v>0</v>
      </c>
      <c r="R46" s="19">
        <f t="shared" si="21"/>
        <v>30000</v>
      </c>
      <c r="S46" s="19">
        <f t="shared" si="21"/>
        <v>0</v>
      </c>
      <c r="T46" s="19">
        <f t="shared" si="21"/>
        <v>0</v>
      </c>
      <c r="U46" s="19">
        <f t="shared" si="21"/>
        <v>0</v>
      </c>
      <c r="V46" s="19">
        <f t="shared" si="21"/>
        <v>0</v>
      </c>
    </row>
    <row r="47" spans="1:22" ht="30" customHeight="1">
      <c r="A47" s="19"/>
      <c r="B47" s="19"/>
      <c r="C47" s="19"/>
      <c r="D47" s="19"/>
      <c r="E47" s="19"/>
      <c r="F47" s="19"/>
      <c r="G47" s="19"/>
      <c r="H47" s="19"/>
      <c r="I47" s="19" t="s">
        <v>115</v>
      </c>
      <c r="J47" s="19">
        <f t="shared" ref="J47:V47" si="22">J45+J48</f>
        <v>0</v>
      </c>
      <c r="K47" s="19">
        <f t="shared" si="22"/>
        <v>0</v>
      </c>
      <c r="L47" s="19">
        <f t="shared" si="22"/>
        <v>0</v>
      </c>
      <c r="M47" s="19">
        <f t="shared" si="22"/>
        <v>0</v>
      </c>
      <c r="N47" s="19">
        <f t="shared" si="22"/>
        <v>0</v>
      </c>
      <c r="O47" s="19">
        <f t="shared" si="22"/>
        <v>0</v>
      </c>
      <c r="P47" s="19">
        <f t="shared" si="22"/>
        <v>0</v>
      </c>
      <c r="Q47" s="19">
        <f t="shared" si="22"/>
        <v>0</v>
      </c>
      <c r="R47" s="19">
        <f t="shared" si="22"/>
        <v>0</v>
      </c>
      <c r="S47" s="19">
        <f t="shared" si="22"/>
        <v>0</v>
      </c>
      <c r="T47" s="19">
        <f t="shared" si="22"/>
        <v>0</v>
      </c>
      <c r="U47" s="19">
        <f t="shared" si="22"/>
        <v>0</v>
      </c>
      <c r="V47" s="19">
        <f t="shared" si="22"/>
        <v>0</v>
      </c>
    </row>
    <row r="48" spans="1:22" ht="15" customHeight="1">
      <c r="A48" s="19"/>
      <c r="B48" s="19"/>
      <c r="C48" s="19"/>
      <c r="D48" s="19"/>
      <c r="E48" s="19"/>
      <c r="F48" s="19"/>
      <c r="G48" s="19"/>
      <c r="H48" s="19"/>
      <c r="I48" s="19" t="s">
        <v>75</v>
      </c>
      <c r="J48" s="19">
        <f t="shared" ref="J48:V48" si="23">ROUNDUP(J46/$F43,0)*$F43</f>
        <v>30000</v>
      </c>
      <c r="K48" s="19">
        <f t="shared" si="23"/>
        <v>0</v>
      </c>
      <c r="L48" s="19">
        <f t="shared" si="23"/>
        <v>0</v>
      </c>
      <c r="M48" s="19">
        <f t="shared" si="23"/>
        <v>30000</v>
      </c>
      <c r="N48" s="19">
        <f t="shared" si="23"/>
        <v>0</v>
      </c>
      <c r="O48" s="19">
        <f t="shared" si="23"/>
        <v>30000</v>
      </c>
      <c r="P48" s="19">
        <f t="shared" si="23"/>
        <v>0</v>
      </c>
      <c r="Q48" s="19">
        <f t="shared" si="23"/>
        <v>0</v>
      </c>
      <c r="R48" s="19">
        <f t="shared" si="23"/>
        <v>30000</v>
      </c>
      <c r="S48" s="19">
        <f t="shared" si="23"/>
        <v>0</v>
      </c>
      <c r="T48" s="19">
        <f t="shared" si="23"/>
        <v>0</v>
      </c>
      <c r="U48" s="19">
        <f t="shared" si="23"/>
        <v>0</v>
      </c>
      <c r="V48" s="19">
        <f t="shared" si="23"/>
        <v>0</v>
      </c>
    </row>
    <row r="49" spans="1:22" ht="15" customHeight="1">
      <c r="A49" s="19"/>
      <c r="B49" s="19"/>
      <c r="C49" s="19"/>
      <c r="D49" s="19"/>
      <c r="E49" s="19"/>
      <c r="F49" s="19"/>
      <c r="G49" s="19"/>
      <c r="H49" s="19"/>
      <c r="I49" s="19" t="s">
        <v>116</v>
      </c>
      <c r="J49" s="19">
        <f t="shared" ref="J49:V49" si="24">K48</f>
        <v>0</v>
      </c>
      <c r="K49" s="19">
        <f t="shared" si="24"/>
        <v>0</v>
      </c>
      <c r="L49" s="19">
        <f t="shared" si="24"/>
        <v>30000</v>
      </c>
      <c r="M49" s="19">
        <f t="shared" si="24"/>
        <v>0</v>
      </c>
      <c r="N49" s="19">
        <f t="shared" si="24"/>
        <v>30000</v>
      </c>
      <c r="O49" s="19">
        <f t="shared" si="24"/>
        <v>0</v>
      </c>
      <c r="P49" s="19">
        <f t="shared" si="24"/>
        <v>0</v>
      </c>
      <c r="Q49" s="19">
        <f t="shared" si="24"/>
        <v>30000</v>
      </c>
      <c r="R49" s="19">
        <f t="shared" si="24"/>
        <v>0</v>
      </c>
      <c r="S49" s="19">
        <f t="shared" si="24"/>
        <v>0</v>
      </c>
      <c r="T49" s="19">
        <f t="shared" si="24"/>
        <v>0</v>
      </c>
      <c r="U49" s="19">
        <f t="shared" si="24"/>
        <v>0</v>
      </c>
      <c r="V49" s="19">
        <f t="shared" si="24"/>
        <v>0</v>
      </c>
    </row>
    <row r="50" spans="1:22" ht="15" customHeight="1">
      <c r="A50" s="19">
        <v>2</v>
      </c>
      <c r="B50" s="19">
        <v>1</v>
      </c>
      <c r="C50" s="19">
        <v>0</v>
      </c>
      <c r="D50" s="19">
        <v>0</v>
      </c>
      <c r="E50" s="19">
        <v>0</v>
      </c>
      <c r="F50" s="19">
        <v>1</v>
      </c>
      <c r="G50" s="19" t="s">
        <v>17</v>
      </c>
      <c r="H50" s="19" t="s">
        <v>97</v>
      </c>
      <c r="I50" s="19" t="s">
        <v>71</v>
      </c>
      <c r="J50" s="19">
        <f t="shared" ref="J50:V50" si="25">J35*1</f>
        <v>30000</v>
      </c>
      <c r="K50" s="19">
        <f t="shared" si="25"/>
        <v>0</v>
      </c>
      <c r="L50" s="19">
        <f t="shared" si="25"/>
        <v>0</v>
      </c>
      <c r="M50" s="19">
        <f t="shared" si="25"/>
        <v>30000</v>
      </c>
      <c r="N50" s="19">
        <f t="shared" si="25"/>
        <v>0</v>
      </c>
      <c r="O50" s="19">
        <f t="shared" si="25"/>
        <v>30000</v>
      </c>
      <c r="P50" s="19">
        <f t="shared" si="25"/>
        <v>0</v>
      </c>
      <c r="Q50" s="19">
        <f t="shared" si="25"/>
        <v>0</v>
      </c>
      <c r="R50" s="19">
        <f t="shared" si="25"/>
        <v>30000</v>
      </c>
      <c r="S50" s="19">
        <f t="shared" si="25"/>
        <v>0</v>
      </c>
      <c r="T50" s="19">
        <f t="shared" si="25"/>
        <v>0</v>
      </c>
      <c r="U50" s="19">
        <f t="shared" si="25"/>
        <v>0</v>
      </c>
      <c r="V50" s="19">
        <f t="shared" si="25"/>
        <v>0</v>
      </c>
    </row>
    <row r="51" spans="1:22" ht="15" customHeight="1">
      <c r="A51" s="19"/>
      <c r="B51" s="19"/>
      <c r="C51" s="19"/>
      <c r="D51" s="19"/>
      <c r="E51" s="19"/>
      <c r="F51" s="19"/>
      <c r="G51" s="19"/>
      <c r="H51" s="19"/>
      <c r="I51" s="19" t="s">
        <v>72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</row>
    <row r="52" spans="1:22" ht="15" customHeight="1">
      <c r="A52" s="19"/>
      <c r="B52" s="19"/>
      <c r="C52" s="19"/>
      <c r="D52" s="19"/>
      <c r="E52" s="19"/>
      <c r="F52" s="19"/>
      <c r="G52" s="19"/>
      <c r="H52" s="19"/>
      <c r="I52" s="19" t="s">
        <v>114</v>
      </c>
      <c r="J52" s="19">
        <f>C50-D50+J51-J50</f>
        <v>-30000</v>
      </c>
      <c r="K52" s="19">
        <f t="shared" ref="K52:V52" si="26">J54+K51-K50</f>
        <v>0</v>
      </c>
      <c r="L52" s="19">
        <f t="shared" si="26"/>
        <v>0</v>
      </c>
      <c r="M52" s="19">
        <f t="shared" si="26"/>
        <v>-30000</v>
      </c>
      <c r="N52" s="19">
        <f t="shared" si="26"/>
        <v>0</v>
      </c>
      <c r="O52" s="19">
        <f t="shared" si="26"/>
        <v>-30000</v>
      </c>
      <c r="P52" s="19">
        <f t="shared" si="26"/>
        <v>0</v>
      </c>
      <c r="Q52" s="19">
        <f t="shared" si="26"/>
        <v>0</v>
      </c>
      <c r="R52" s="19">
        <f t="shared" si="26"/>
        <v>-30000</v>
      </c>
      <c r="S52" s="19">
        <f t="shared" si="26"/>
        <v>0</v>
      </c>
      <c r="T52" s="19">
        <f t="shared" si="26"/>
        <v>0</v>
      </c>
      <c r="U52" s="19">
        <f t="shared" si="26"/>
        <v>0</v>
      </c>
      <c r="V52" s="19">
        <f t="shared" si="26"/>
        <v>0</v>
      </c>
    </row>
    <row r="53" spans="1:22" ht="15" customHeight="1">
      <c r="A53" s="19"/>
      <c r="B53" s="19"/>
      <c r="C53" s="19"/>
      <c r="D53" s="19"/>
      <c r="E53" s="19"/>
      <c r="F53" s="19"/>
      <c r="G53" s="19"/>
      <c r="H53" s="19"/>
      <c r="I53" s="19" t="s">
        <v>74</v>
      </c>
      <c r="J53" s="19">
        <f t="shared" ref="J53:V53" si="27">IF(J52-$E50&gt;0,0,$E50-J52)</f>
        <v>30000</v>
      </c>
      <c r="K53" s="19">
        <f t="shared" si="27"/>
        <v>0</v>
      </c>
      <c r="L53" s="19">
        <f t="shared" si="27"/>
        <v>0</v>
      </c>
      <c r="M53" s="19">
        <f t="shared" si="27"/>
        <v>30000</v>
      </c>
      <c r="N53" s="19">
        <f t="shared" si="27"/>
        <v>0</v>
      </c>
      <c r="O53" s="19">
        <f t="shared" si="27"/>
        <v>30000</v>
      </c>
      <c r="P53" s="19">
        <f t="shared" si="27"/>
        <v>0</v>
      </c>
      <c r="Q53" s="19">
        <f t="shared" si="27"/>
        <v>0</v>
      </c>
      <c r="R53" s="19">
        <f t="shared" si="27"/>
        <v>30000</v>
      </c>
      <c r="S53" s="19">
        <f t="shared" si="27"/>
        <v>0</v>
      </c>
      <c r="T53" s="19">
        <f t="shared" si="27"/>
        <v>0</v>
      </c>
      <c r="U53" s="19">
        <f t="shared" si="27"/>
        <v>0</v>
      </c>
      <c r="V53" s="19">
        <f t="shared" si="27"/>
        <v>0</v>
      </c>
    </row>
    <row r="54" spans="1:22" ht="30" customHeight="1">
      <c r="A54" s="19"/>
      <c r="B54" s="19"/>
      <c r="C54" s="19"/>
      <c r="D54" s="19"/>
      <c r="E54" s="19"/>
      <c r="F54" s="19"/>
      <c r="G54" s="19"/>
      <c r="H54" s="19"/>
      <c r="I54" s="19" t="s">
        <v>115</v>
      </c>
      <c r="J54" s="19">
        <f t="shared" ref="J54:V54" si="28">J52+J55</f>
        <v>0</v>
      </c>
      <c r="K54" s="19">
        <f t="shared" si="28"/>
        <v>0</v>
      </c>
      <c r="L54" s="19">
        <f t="shared" si="28"/>
        <v>0</v>
      </c>
      <c r="M54" s="19">
        <f t="shared" si="28"/>
        <v>0</v>
      </c>
      <c r="N54" s="19">
        <f t="shared" si="28"/>
        <v>0</v>
      </c>
      <c r="O54" s="19">
        <f t="shared" si="28"/>
        <v>0</v>
      </c>
      <c r="P54" s="19">
        <f t="shared" si="28"/>
        <v>0</v>
      </c>
      <c r="Q54" s="19">
        <f t="shared" si="28"/>
        <v>0</v>
      </c>
      <c r="R54" s="19">
        <f t="shared" si="28"/>
        <v>0</v>
      </c>
      <c r="S54" s="19">
        <f t="shared" si="28"/>
        <v>0</v>
      </c>
      <c r="T54" s="19">
        <f t="shared" si="28"/>
        <v>0</v>
      </c>
      <c r="U54" s="19">
        <f t="shared" si="28"/>
        <v>0</v>
      </c>
      <c r="V54" s="19">
        <f t="shared" si="28"/>
        <v>0</v>
      </c>
    </row>
    <row r="55" spans="1:22" ht="15" customHeight="1">
      <c r="A55" s="19"/>
      <c r="B55" s="19"/>
      <c r="C55" s="19"/>
      <c r="D55" s="19"/>
      <c r="E55" s="19"/>
      <c r="F55" s="19"/>
      <c r="G55" s="19"/>
      <c r="H55" s="19"/>
      <c r="I55" s="19" t="s">
        <v>75</v>
      </c>
      <c r="J55" s="19">
        <f t="shared" ref="J55:V55" si="29">ROUNDUP(J53/$F50,0)*$F50</f>
        <v>30000</v>
      </c>
      <c r="K55" s="19">
        <f t="shared" si="29"/>
        <v>0</v>
      </c>
      <c r="L55" s="19">
        <f t="shared" si="29"/>
        <v>0</v>
      </c>
      <c r="M55" s="19">
        <f t="shared" si="29"/>
        <v>30000</v>
      </c>
      <c r="N55" s="19">
        <f t="shared" si="29"/>
        <v>0</v>
      </c>
      <c r="O55" s="19">
        <f t="shared" si="29"/>
        <v>30000</v>
      </c>
      <c r="P55" s="19">
        <f t="shared" si="29"/>
        <v>0</v>
      </c>
      <c r="Q55" s="19">
        <f t="shared" si="29"/>
        <v>0</v>
      </c>
      <c r="R55" s="19">
        <f t="shared" si="29"/>
        <v>30000</v>
      </c>
      <c r="S55" s="19">
        <f t="shared" si="29"/>
        <v>0</v>
      </c>
      <c r="T55" s="19">
        <f t="shared" si="29"/>
        <v>0</v>
      </c>
      <c r="U55" s="19">
        <f t="shared" si="29"/>
        <v>0</v>
      </c>
      <c r="V55" s="19">
        <f t="shared" si="29"/>
        <v>0</v>
      </c>
    </row>
    <row r="56" spans="1:22" ht="15" customHeight="1">
      <c r="A56" s="19"/>
      <c r="B56" s="19"/>
      <c r="C56" s="19"/>
      <c r="D56" s="19"/>
      <c r="E56" s="19"/>
      <c r="F56" s="19"/>
      <c r="G56" s="19"/>
      <c r="H56" s="19"/>
      <c r="I56" s="19" t="s">
        <v>116</v>
      </c>
      <c r="J56" s="19">
        <f t="shared" ref="J56:V56" si="30">K55</f>
        <v>0</v>
      </c>
      <c r="K56" s="19">
        <f t="shared" si="30"/>
        <v>0</v>
      </c>
      <c r="L56" s="19">
        <f t="shared" si="30"/>
        <v>30000</v>
      </c>
      <c r="M56" s="19">
        <f t="shared" si="30"/>
        <v>0</v>
      </c>
      <c r="N56" s="19">
        <f t="shared" si="30"/>
        <v>30000</v>
      </c>
      <c r="O56" s="19">
        <f t="shared" si="30"/>
        <v>0</v>
      </c>
      <c r="P56" s="19">
        <f t="shared" si="30"/>
        <v>0</v>
      </c>
      <c r="Q56" s="19">
        <f t="shared" si="30"/>
        <v>30000</v>
      </c>
      <c r="R56" s="19">
        <f t="shared" si="30"/>
        <v>0</v>
      </c>
      <c r="S56" s="19">
        <f t="shared" si="30"/>
        <v>0</v>
      </c>
      <c r="T56" s="19">
        <f t="shared" si="30"/>
        <v>0</v>
      </c>
      <c r="U56" s="19">
        <f t="shared" si="30"/>
        <v>0</v>
      </c>
      <c r="V56" s="19">
        <f t="shared" si="30"/>
        <v>0</v>
      </c>
    </row>
    <row r="57" spans="1:22" ht="15" customHeight="1">
      <c r="A57" s="19">
        <v>2</v>
      </c>
      <c r="B57" s="19">
        <v>1</v>
      </c>
      <c r="C57" s="19">
        <v>0</v>
      </c>
      <c r="D57" s="19">
        <v>0</v>
      </c>
      <c r="E57" s="19">
        <v>0</v>
      </c>
      <c r="F57" s="19">
        <v>1</v>
      </c>
      <c r="G57" s="19" t="s">
        <v>27</v>
      </c>
      <c r="H57" s="19" t="s">
        <v>98</v>
      </c>
      <c r="I57" s="19" t="s">
        <v>71</v>
      </c>
      <c r="J57" s="19">
        <f t="shared" ref="J57:V57" si="31">0.25*J$27</f>
        <v>180000</v>
      </c>
      <c r="K57" s="19">
        <f t="shared" si="31"/>
        <v>0</v>
      </c>
      <c r="L57" s="19">
        <f t="shared" si="31"/>
        <v>0</v>
      </c>
      <c r="M57" s="19">
        <f t="shared" si="31"/>
        <v>180000</v>
      </c>
      <c r="N57" s="19">
        <f t="shared" si="31"/>
        <v>0</v>
      </c>
      <c r="O57" s="19">
        <f t="shared" si="31"/>
        <v>180000</v>
      </c>
      <c r="P57" s="19">
        <f t="shared" si="31"/>
        <v>0</v>
      </c>
      <c r="Q57" s="19">
        <f t="shared" si="31"/>
        <v>0</v>
      </c>
      <c r="R57" s="19">
        <f t="shared" si="31"/>
        <v>180000</v>
      </c>
      <c r="S57" s="19">
        <f t="shared" si="31"/>
        <v>0</v>
      </c>
      <c r="T57" s="19">
        <f t="shared" si="31"/>
        <v>0</v>
      </c>
      <c r="U57" s="19">
        <f t="shared" si="31"/>
        <v>0</v>
      </c>
      <c r="V57" s="19">
        <f t="shared" si="31"/>
        <v>0</v>
      </c>
    </row>
    <row r="58" spans="1:22" ht="15" customHeight="1">
      <c r="A58" s="19"/>
      <c r="B58" s="19"/>
      <c r="C58" s="19"/>
      <c r="D58" s="19"/>
      <c r="E58" s="19"/>
      <c r="F58" s="19"/>
      <c r="G58" s="19"/>
      <c r="H58" s="19"/>
      <c r="I58" s="19" t="s">
        <v>72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</row>
    <row r="59" spans="1:22" ht="15" customHeight="1">
      <c r="A59" s="19"/>
      <c r="B59" s="19"/>
      <c r="C59" s="19"/>
      <c r="D59" s="19"/>
      <c r="E59" s="19"/>
      <c r="F59" s="19"/>
      <c r="G59" s="19"/>
      <c r="H59" s="19"/>
      <c r="I59" s="19" t="s">
        <v>114</v>
      </c>
      <c r="J59" s="19">
        <f>C57-D57+J58-J57</f>
        <v>-180000</v>
      </c>
      <c r="K59" s="19">
        <f t="shared" ref="K59:V59" si="32">J61+K58-K57</f>
        <v>0</v>
      </c>
      <c r="L59" s="19">
        <f t="shared" si="32"/>
        <v>0</v>
      </c>
      <c r="M59" s="19">
        <f t="shared" si="32"/>
        <v>-180000</v>
      </c>
      <c r="N59" s="19">
        <f t="shared" si="32"/>
        <v>0</v>
      </c>
      <c r="O59" s="19">
        <f t="shared" si="32"/>
        <v>-180000</v>
      </c>
      <c r="P59" s="19">
        <f t="shared" si="32"/>
        <v>0</v>
      </c>
      <c r="Q59" s="19">
        <f t="shared" si="32"/>
        <v>0</v>
      </c>
      <c r="R59" s="19">
        <f t="shared" si="32"/>
        <v>-180000</v>
      </c>
      <c r="S59" s="19">
        <f t="shared" si="32"/>
        <v>0</v>
      </c>
      <c r="T59" s="19">
        <f t="shared" si="32"/>
        <v>0</v>
      </c>
      <c r="U59" s="19">
        <f t="shared" si="32"/>
        <v>0</v>
      </c>
      <c r="V59" s="19">
        <f t="shared" si="32"/>
        <v>0</v>
      </c>
    </row>
    <row r="60" spans="1:22" ht="15" customHeight="1">
      <c r="A60" s="19"/>
      <c r="B60" s="19"/>
      <c r="C60" s="19"/>
      <c r="D60" s="19"/>
      <c r="E60" s="19"/>
      <c r="F60" s="19"/>
      <c r="G60" s="19"/>
      <c r="H60" s="19"/>
      <c r="I60" s="19" t="s">
        <v>74</v>
      </c>
      <c r="J60" s="19">
        <f t="shared" ref="J60:V60" si="33">IF(J59-$E57&gt;0,0,$E57-J59)</f>
        <v>180000</v>
      </c>
      <c r="K60" s="19">
        <f t="shared" si="33"/>
        <v>0</v>
      </c>
      <c r="L60" s="19">
        <f t="shared" si="33"/>
        <v>0</v>
      </c>
      <c r="M60" s="19">
        <f t="shared" si="33"/>
        <v>180000</v>
      </c>
      <c r="N60" s="19">
        <f t="shared" si="33"/>
        <v>0</v>
      </c>
      <c r="O60" s="19">
        <f t="shared" si="33"/>
        <v>180000</v>
      </c>
      <c r="P60" s="19">
        <f t="shared" si="33"/>
        <v>0</v>
      </c>
      <c r="Q60" s="19">
        <f t="shared" si="33"/>
        <v>0</v>
      </c>
      <c r="R60" s="19">
        <f t="shared" si="33"/>
        <v>180000</v>
      </c>
      <c r="S60" s="19">
        <f t="shared" si="33"/>
        <v>0</v>
      </c>
      <c r="T60" s="19">
        <f t="shared" si="33"/>
        <v>0</v>
      </c>
      <c r="U60" s="19">
        <f t="shared" si="33"/>
        <v>0</v>
      </c>
      <c r="V60" s="19">
        <f t="shared" si="33"/>
        <v>0</v>
      </c>
    </row>
    <row r="61" spans="1:22" ht="30" customHeight="1">
      <c r="A61" s="19"/>
      <c r="B61" s="19"/>
      <c r="C61" s="19"/>
      <c r="D61" s="19"/>
      <c r="E61" s="19"/>
      <c r="F61" s="19"/>
      <c r="G61" s="19"/>
      <c r="H61" s="19"/>
      <c r="I61" s="19" t="s">
        <v>115</v>
      </c>
      <c r="J61" s="19">
        <f t="shared" ref="J61:V61" si="34">J59+J62</f>
        <v>0</v>
      </c>
      <c r="K61" s="19">
        <f t="shared" si="34"/>
        <v>0</v>
      </c>
      <c r="L61" s="19">
        <f t="shared" si="34"/>
        <v>0</v>
      </c>
      <c r="M61" s="19">
        <f t="shared" si="34"/>
        <v>0</v>
      </c>
      <c r="N61" s="19">
        <f t="shared" si="34"/>
        <v>0</v>
      </c>
      <c r="O61" s="19">
        <f t="shared" si="34"/>
        <v>0</v>
      </c>
      <c r="P61" s="19">
        <f t="shared" si="34"/>
        <v>0</v>
      </c>
      <c r="Q61" s="19">
        <f t="shared" si="34"/>
        <v>0</v>
      </c>
      <c r="R61" s="19">
        <f t="shared" si="34"/>
        <v>0</v>
      </c>
      <c r="S61" s="19">
        <f t="shared" si="34"/>
        <v>0</v>
      </c>
      <c r="T61" s="19">
        <f t="shared" si="34"/>
        <v>0</v>
      </c>
      <c r="U61" s="19">
        <f t="shared" si="34"/>
        <v>0</v>
      </c>
      <c r="V61" s="19">
        <f t="shared" si="34"/>
        <v>0</v>
      </c>
    </row>
    <row r="62" spans="1:22" ht="15" customHeight="1">
      <c r="A62" s="19"/>
      <c r="B62" s="19"/>
      <c r="C62" s="19"/>
      <c r="D62" s="19"/>
      <c r="E62" s="19"/>
      <c r="F62" s="19"/>
      <c r="G62" s="19"/>
      <c r="H62" s="19"/>
      <c r="I62" s="19" t="s">
        <v>75</v>
      </c>
      <c r="J62" s="19">
        <f t="shared" ref="J62:V62" si="35">ROUNDUP(J60/$F57,0)*$F57</f>
        <v>180000</v>
      </c>
      <c r="K62" s="19">
        <f t="shared" si="35"/>
        <v>0</v>
      </c>
      <c r="L62" s="19">
        <f t="shared" si="35"/>
        <v>0</v>
      </c>
      <c r="M62" s="19">
        <f t="shared" si="35"/>
        <v>180000</v>
      </c>
      <c r="N62" s="19">
        <f t="shared" si="35"/>
        <v>0</v>
      </c>
      <c r="O62" s="19">
        <f t="shared" si="35"/>
        <v>180000</v>
      </c>
      <c r="P62" s="19">
        <f t="shared" si="35"/>
        <v>0</v>
      </c>
      <c r="Q62" s="19">
        <f t="shared" si="35"/>
        <v>0</v>
      </c>
      <c r="R62" s="19">
        <f t="shared" si="35"/>
        <v>180000</v>
      </c>
      <c r="S62" s="19">
        <f t="shared" si="35"/>
        <v>0</v>
      </c>
      <c r="T62" s="19">
        <f t="shared" si="35"/>
        <v>0</v>
      </c>
      <c r="U62" s="19">
        <f t="shared" si="35"/>
        <v>0</v>
      </c>
      <c r="V62" s="19">
        <f t="shared" si="35"/>
        <v>0</v>
      </c>
    </row>
    <row r="63" spans="1:22" ht="15" customHeight="1">
      <c r="A63" s="19"/>
      <c r="B63" s="19"/>
      <c r="C63" s="19"/>
      <c r="D63" s="19"/>
      <c r="E63" s="19"/>
      <c r="F63" s="19"/>
      <c r="G63" s="19"/>
      <c r="H63" s="19"/>
      <c r="I63" s="19" t="s">
        <v>116</v>
      </c>
      <c r="J63" s="19">
        <f t="shared" ref="J63:V63" si="36">K62</f>
        <v>0</v>
      </c>
      <c r="K63" s="19">
        <f t="shared" si="36"/>
        <v>0</v>
      </c>
      <c r="L63" s="19">
        <f t="shared" si="36"/>
        <v>180000</v>
      </c>
      <c r="M63" s="19">
        <f t="shared" si="36"/>
        <v>0</v>
      </c>
      <c r="N63" s="19">
        <f t="shared" si="36"/>
        <v>180000</v>
      </c>
      <c r="O63" s="19">
        <f t="shared" si="36"/>
        <v>0</v>
      </c>
      <c r="P63" s="19">
        <f t="shared" si="36"/>
        <v>0</v>
      </c>
      <c r="Q63" s="19">
        <f t="shared" si="36"/>
        <v>180000</v>
      </c>
      <c r="R63" s="19">
        <f t="shared" si="36"/>
        <v>0</v>
      </c>
      <c r="S63" s="19">
        <f t="shared" si="36"/>
        <v>0</v>
      </c>
      <c r="T63" s="19">
        <f t="shared" si="36"/>
        <v>0</v>
      </c>
      <c r="U63" s="19">
        <f t="shared" si="36"/>
        <v>0</v>
      </c>
      <c r="V63" s="19">
        <f t="shared" si="36"/>
        <v>0</v>
      </c>
    </row>
    <row r="64" spans="1:22" ht="15" customHeight="1">
      <c r="A64" s="19">
        <v>2</v>
      </c>
      <c r="B64" s="19">
        <v>1</v>
      </c>
      <c r="C64" s="19">
        <v>0</v>
      </c>
      <c r="D64" s="19">
        <v>0</v>
      </c>
      <c r="E64" s="19">
        <v>0</v>
      </c>
      <c r="F64" s="19">
        <v>1</v>
      </c>
      <c r="G64" s="19" t="s">
        <v>31</v>
      </c>
      <c r="H64" s="19" t="s">
        <v>100</v>
      </c>
      <c r="I64" s="19" t="s">
        <v>71</v>
      </c>
      <c r="J64" s="19">
        <f t="shared" ref="J64:V64" si="37">0.04*J$27</f>
        <v>28800</v>
      </c>
      <c r="K64" s="19">
        <f t="shared" si="37"/>
        <v>0</v>
      </c>
      <c r="L64" s="19">
        <f t="shared" si="37"/>
        <v>0</v>
      </c>
      <c r="M64" s="19">
        <f t="shared" si="37"/>
        <v>28800</v>
      </c>
      <c r="N64" s="19">
        <f t="shared" si="37"/>
        <v>0</v>
      </c>
      <c r="O64" s="19">
        <f t="shared" si="37"/>
        <v>28800</v>
      </c>
      <c r="P64" s="19">
        <f t="shared" si="37"/>
        <v>0</v>
      </c>
      <c r="Q64" s="19">
        <f t="shared" si="37"/>
        <v>0</v>
      </c>
      <c r="R64" s="19">
        <f t="shared" si="37"/>
        <v>28800</v>
      </c>
      <c r="S64" s="19">
        <f t="shared" si="37"/>
        <v>0</v>
      </c>
      <c r="T64" s="19">
        <f t="shared" si="37"/>
        <v>0</v>
      </c>
      <c r="U64" s="19">
        <f t="shared" si="37"/>
        <v>0</v>
      </c>
      <c r="V64" s="19">
        <f t="shared" si="37"/>
        <v>0</v>
      </c>
    </row>
    <row r="65" spans="1:22" ht="15" customHeight="1">
      <c r="A65" s="19"/>
      <c r="B65" s="19"/>
      <c r="C65" s="19"/>
      <c r="D65" s="19"/>
      <c r="E65" s="19"/>
      <c r="F65" s="19"/>
      <c r="G65" s="19"/>
      <c r="H65" s="19"/>
      <c r="I65" s="19" t="s">
        <v>72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</row>
    <row r="66" spans="1:22" ht="15" customHeight="1">
      <c r="A66" s="19"/>
      <c r="B66" s="19"/>
      <c r="C66" s="19"/>
      <c r="D66" s="19"/>
      <c r="E66" s="19"/>
      <c r="F66" s="19"/>
      <c r="G66" s="19"/>
      <c r="H66" s="19"/>
      <c r="I66" s="19" t="s">
        <v>114</v>
      </c>
      <c r="J66" s="19">
        <f>C64-D64+J65-J64</f>
        <v>-28800</v>
      </c>
      <c r="K66" s="19">
        <f t="shared" ref="K66:V66" si="38">J68+K65-K64</f>
        <v>0</v>
      </c>
      <c r="L66" s="19">
        <f t="shared" si="38"/>
        <v>0</v>
      </c>
      <c r="M66" s="19">
        <f t="shared" si="38"/>
        <v>-28800</v>
      </c>
      <c r="N66" s="19">
        <f t="shared" si="38"/>
        <v>0</v>
      </c>
      <c r="O66" s="19">
        <f t="shared" si="38"/>
        <v>-28800</v>
      </c>
      <c r="P66" s="19">
        <f t="shared" si="38"/>
        <v>0</v>
      </c>
      <c r="Q66" s="19">
        <f t="shared" si="38"/>
        <v>0</v>
      </c>
      <c r="R66" s="19">
        <f t="shared" si="38"/>
        <v>-28800</v>
      </c>
      <c r="S66" s="19">
        <f t="shared" si="38"/>
        <v>0</v>
      </c>
      <c r="T66" s="19">
        <f t="shared" si="38"/>
        <v>0</v>
      </c>
      <c r="U66" s="19">
        <f t="shared" si="38"/>
        <v>0</v>
      </c>
      <c r="V66" s="19">
        <f t="shared" si="38"/>
        <v>0</v>
      </c>
    </row>
    <row r="67" spans="1:22" ht="15" customHeight="1">
      <c r="A67" s="19"/>
      <c r="B67" s="19"/>
      <c r="C67" s="19"/>
      <c r="D67" s="19"/>
      <c r="E67" s="19"/>
      <c r="F67" s="19"/>
      <c r="G67" s="19"/>
      <c r="H67" s="19"/>
      <c r="I67" s="19" t="s">
        <v>74</v>
      </c>
      <c r="J67" s="19">
        <f t="shared" ref="J67:V67" si="39">IF(J66-$E64&gt;0,0,$E64-J66)</f>
        <v>28800</v>
      </c>
      <c r="K67" s="19">
        <f t="shared" si="39"/>
        <v>0</v>
      </c>
      <c r="L67" s="19">
        <f t="shared" si="39"/>
        <v>0</v>
      </c>
      <c r="M67" s="19">
        <f t="shared" si="39"/>
        <v>28800</v>
      </c>
      <c r="N67" s="19">
        <f t="shared" si="39"/>
        <v>0</v>
      </c>
      <c r="O67" s="19">
        <f t="shared" si="39"/>
        <v>28800</v>
      </c>
      <c r="P67" s="19">
        <f t="shared" si="39"/>
        <v>0</v>
      </c>
      <c r="Q67" s="19">
        <f t="shared" si="39"/>
        <v>0</v>
      </c>
      <c r="R67" s="19">
        <f t="shared" si="39"/>
        <v>28800</v>
      </c>
      <c r="S67" s="19">
        <f t="shared" si="39"/>
        <v>0</v>
      </c>
      <c r="T67" s="19">
        <f t="shared" si="39"/>
        <v>0</v>
      </c>
      <c r="U67" s="19">
        <f t="shared" si="39"/>
        <v>0</v>
      </c>
      <c r="V67" s="19">
        <f t="shared" si="39"/>
        <v>0</v>
      </c>
    </row>
    <row r="68" spans="1:22" ht="30" customHeight="1">
      <c r="A68" s="19"/>
      <c r="B68" s="19"/>
      <c r="C68" s="19"/>
      <c r="D68" s="19"/>
      <c r="E68" s="19"/>
      <c r="F68" s="19"/>
      <c r="G68" s="19"/>
      <c r="H68" s="19"/>
      <c r="I68" s="19" t="s">
        <v>115</v>
      </c>
      <c r="J68" s="19">
        <f t="shared" ref="J68:V68" si="40">J66+J69</f>
        <v>0</v>
      </c>
      <c r="K68" s="19">
        <f t="shared" si="40"/>
        <v>0</v>
      </c>
      <c r="L68" s="19">
        <f t="shared" si="40"/>
        <v>0</v>
      </c>
      <c r="M68" s="19">
        <f t="shared" si="40"/>
        <v>0</v>
      </c>
      <c r="N68" s="19">
        <f t="shared" si="40"/>
        <v>0</v>
      </c>
      <c r="O68" s="19">
        <f t="shared" si="40"/>
        <v>0</v>
      </c>
      <c r="P68" s="19">
        <f t="shared" si="40"/>
        <v>0</v>
      </c>
      <c r="Q68" s="19">
        <f t="shared" si="40"/>
        <v>0</v>
      </c>
      <c r="R68" s="19">
        <f t="shared" si="40"/>
        <v>0</v>
      </c>
      <c r="S68" s="19">
        <f t="shared" si="40"/>
        <v>0</v>
      </c>
      <c r="T68" s="19">
        <f t="shared" si="40"/>
        <v>0</v>
      </c>
      <c r="U68" s="19">
        <f t="shared" si="40"/>
        <v>0</v>
      </c>
      <c r="V68" s="19">
        <f t="shared" si="40"/>
        <v>0</v>
      </c>
    </row>
    <row r="69" spans="1:22" ht="15" customHeight="1">
      <c r="A69" s="19"/>
      <c r="B69" s="19"/>
      <c r="C69" s="19"/>
      <c r="D69" s="19"/>
      <c r="E69" s="19"/>
      <c r="F69" s="19"/>
      <c r="G69" s="19"/>
      <c r="H69" s="19"/>
      <c r="I69" s="19" t="s">
        <v>75</v>
      </c>
      <c r="J69" s="19">
        <f t="shared" ref="J69:V69" si="41">ROUNDUP(J67/$F64,0)*$F64</f>
        <v>28800</v>
      </c>
      <c r="K69" s="19">
        <f t="shared" si="41"/>
        <v>0</v>
      </c>
      <c r="L69" s="19">
        <f t="shared" si="41"/>
        <v>0</v>
      </c>
      <c r="M69" s="19">
        <f t="shared" si="41"/>
        <v>28800</v>
      </c>
      <c r="N69" s="19">
        <f t="shared" si="41"/>
        <v>0</v>
      </c>
      <c r="O69" s="19">
        <f t="shared" si="41"/>
        <v>28800</v>
      </c>
      <c r="P69" s="19">
        <f t="shared" si="41"/>
        <v>0</v>
      </c>
      <c r="Q69" s="19">
        <f t="shared" si="41"/>
        <v>0</v>
      </c>
      <c r="R69" s="19">
        <f t="shared" si="41"/>
        <v>28800</v>
      </c>
      <c r="S69" s="19">
        <f t="shared" si="41"/>
        <v>0</v>
      </c>
      <c r="T69" s="19">
        <f t="shared" si="41"/>
        <v>0</v>
      </c>
      <c r="U69" s="19">
        <f t="shared" si="41"/>
        <v>0</v>
      </c>
      <c r="V69" s="19">
        <f t="shared" si="41"/>
        <v>0</v>
      </c>
    </row>
    <row r="70" spans="1:22" ht="15" customHeight="1">
      <c r="A70" s="19"/>
      <c r="B70" s="19"/>
      <c r="C70" s="19"/>
      <c r="D70" s="19"/>
      <c r="E70" s="19"/>
      <c r="F70" s="19"/>
      <c r="G70" s="19"/>
      <c r="H70" s="19"/>
      <c r="I70" s="19" t="s">
        <v>116</v>
      </c>
      <c r="J70" s="19">
        <f t="shared" ref="J70:V70" si="42">K69</f>
        <v>0</v>
      </c>
      <c r="K70" s="19">
        <f t="shared" si="42"/>
        <v>0</v>
      </c>
      <c r="L70" s="19">
        <f t="shared" si="42"/>
        <v>28800</v>
      </c>
      <c r="M70" s="19">
        <f t="shared" si="42"/>
        <v>0</v>
      </c>
      <c r="N70" s="19">
        <f t="shared" si="42"/>
        <v>28800</v>
      </c>
      <c r="O70" s="19">
        <f t="shared" si="42"/>
        <v>0</v>
      </c>
      <c r="P70" s="19">
        <f t="shared" si="42"/>
        <v>0</v>
      </c>
      <c r="Q70" s="19">
        <f t="shared" si="42"/>
        <v>28800</v>
      </c>
      <c r="R70" s="19">
        <f t="shared" si="42"/>
        <v>0</v>
      </c>
      <c r="S70" s="19">
        <f t="shared" si="42"/>
        <v>0</v>
      </c>
      <c r="T70" s="19">
        <f t="shared" si="42"/>
        <v>0</v>
      </c>
      <c r="U70" s="19">
        <f t="shared" si="42"/>
        <v>0</v>
      </c>
      <c r="V70" s="19">
        <f t="shared" si="42"/>
        <v>0</v>
      </c>
    </row>
    <row r="71" spans="1:22" ht="15" customHeight="1">
      <c r="A71" s="19">
        <v>2</v>
      </c>
      <c r="B71" s="19">
        <v>1</v>
      </c>
      <c r="C71" s="19">
        <v>0</v>
      </c>
      <c r="D71" s="19">
        <v>0</v>
      </c>
      <c r="E71" s="19">
        <v>0</v>
      </c>
      <c r="F71" s="19">
        <v>1</v>
      </c>
      <c r="G71" s="19" t="s">
        <v>35</v>
      </c>
      <c r="H71" s="19" t="s">
        <v>106</v>
      </c>
      <c r="I71" s="19" t="s">
        <v>71</v>
      </c>
      <c r="J71" s="19">
        <f t="shared" ref="J71:V71" si="43">1*J$27</f>
        <v>720000</v>
      </c>
      <c r="K71" s="19">
        <f t="shared" si="43"/>
        <v>0</v>
      </c>
      <c r="L71" s="19">
        <f t="shared" si="43"/>
        <v>0</v>
      </c>
      <c r="M71" s="19">
        <f t="shared" si="43"/>
        <v>720000</v>
      </c>
      <c r="N71" s="19">
        <f t="shared" si="43"/>
        <v>0</v>
      </c>
      <c r="O71" s="19">
        <f t="shared" si="43"/>
        <v>720000</v>
      </c>
      <c r="P71" s="19">
        <f t="shared" si="43"/>
        <v>0</v>
      </c>
      <c r="Q71" s="19">
        <f t="shared" si="43"/>
        <v>0</v>
      </c>
      <c r="R71" s="19">
        <f t="shared" si="43"/>
        <v>720000</v>
      </c>
      <c r="S71" s="19">
        <f t="shared" si="43"/>
        <v>0</v>
      </c>
      <c r="T71" s="19">
        <f t="shared" si="43"/>
        <v>0</v>
      </c>
      <c r="U71" s="19">
        <f t="shared" si="43"/>
        <v>0</v>
      </c>
      <c r="V71" s="19">
        <f t="shared" si="43"/>
        <v>0</v>
      </c>
    </row>
    <row r="72" spans="1:22" ht="15" customHeight="1">
      <c r="A72" s="19"/>
      <c r="B72" s="19"/>
      <c r="C72" s="19"/>
      <c r="D72" s="19"/>
      <c r="E72" s="19"/>
      <c r="F72" s="19"/>
      <c r="G72" s="19"/>
      <c r="H72" s="19"/>
      <c r="I72" s="19" t="s">
        <v>72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</row>
    <row r="73" spans="1:22" ht="15" customHeight="1">
      <c r="A73" s="19"/>
      <c r="B73" s="19"/>
      <c r="C73" s="19"/>
      <c r="D73" s="19"/>
      <c r="E73" s="19"/>
      <c r="F73" s="19"/>
      <c r="G73" s="19"/>
      <c r="H73" s="19"/>
      <c r="I73" s="19" t="s">
        <v>114</v>
      </c>
      <c r="J73" s="19">
        <f>C71-D71+J72-J71</f>
        <v>-720000</v>
      </c>
      <c r="K73" s="19">
        <f t="shared" ref="K73:V73" si="44">J75+K72-K71</f>
        <v>0</v>
      </c>
      <c r="L73" s="19">
        <f t="shared" si="44"/>
        <v>0</v>
      </c>
      <c r="M73" s="19">
        <f t="shared" si="44"/>
        <v>-720000</v>
      </c>
      <c r="N73" s="19">
        <f t="shared" si="44"/>
        <v>0</v>
      </c>
      <c r="O73" s="19">
        <f t="shared" si="44"/>
        <v>-720000</v>
      </c>
      <c r="P73" s="19">
        <f t="shared" si="44"/>
        <v>0</v>
      </c>
      <c r="Q73" s="19">
        <f t="shared" si="44"/>
        <v>0</v>
      </c>
      <c r="R73" s="19">
        <f t="shared" si="44"/>
        <v>-720000</v>
      </c>
      <c r="S73" s="19">
        <f t="shared" si="44"/>
        <v>0</v>
      </c>
      <c r="T73" s="19">
        <f t="shared" si="44"/>
        <v>0</v>
      </c>
      <c r="U73" s="19">
        <f t="shared" si="44"/>
        <v>0</v>
      </c>
      <c r="V73" s="19">
        <f t="shared" si="44"/>
        <v>0</v>
      </c>
    </row>
    <row r="74" spans="1:22" ht="15" customHeight="1">
      <c r="A74" s="19"/>
      <c r="B74" s="19"/>
      <c r="C74" s="19"/>
      <c r="D74" s="19"/>
      <c r="E74" s="19"/>
      <c r="F74" s="19"/>
      <c r="G74" s="19"/>
      <c r="H74" s="19"/>
      <c r="I74" s="19" t="s">
        <v>74</v>
      </c>
      <c r="J74" s="19">
        <f t="shared" ref="J74:V74" si="45">IF(J73-$E71&gt;0,0,$E71-J73)</f>
        <v>720000</v>
      </c>
      <c r="K74" s="19">
        <f t="shared" si="45"/>
        <v>0</v>
      </c>
      <c r="L74" s="19">
        <f t="shared" si="45"/>
        <v>0</v>
      </c>
      <c r="M74" s="19">
        <f t="shared" si="45"/>
        <v>720000</v>
      </c>
      <c r="N74" s="19">
        <f t="shared" si="45"/>
        <v>0</v>
      </c>
      <c r="O74" s="19">
        <f t="shared" si="45"/>
        <v>720000</v>
      </c>
      <c r="P74" s="19">
        <f t="shared" si="45"/>
        <v>0</v>
      </c>
      <c r="Q74" s="19">
        <f t="shared" si="45"/>
        <v>0</v>
      </c>
      <c r="R74" s="19">
        <f t="shared" si="45"/>
        <v>720000</v>
      </c>
      <c r="S74" s="19">
        <f t="shared" si="45"/>
        <v>0</v>
      </c>
      <c r="T74" s="19">
        <f t="shared" si="45"/>
        <v>0</v>
      </c>
      <c r="U74" s="19">
        <f t="shared" si="45"/>
        <v>0</v>
      </c>
      <c r="V74" s="19">
        <f t="shared" si="45"/>
        <v>0</v>
      </c>
    </row>
    <row r="75" spans="1:22" ht="30" customHeight="1">
      <c r="A75" s="19"/>
      <c r="B75" s="19"/>
      <c r="C75" s="19"/>
      <c r="D75" s="19"/>
      <c r="E75" s="19"/>
      <c r="F75" s="19"/>
      <c r="G75" s="19"/>
      <c r="H75" s="19"/>
      <c r="I75" s="19" t="s">
        <v>115</v>
      </c>
      <c r="J75" s="19">
        <f t="shared" ref="J75:V75" si="46">J73+J76</f>
        <v>0</v>
      </c>
      <c r="K75" s="19">
        <f t="shared" si="46"/>
        <v>0</v>
      </c>
      <c r="L75" s="19">
        <f t="shared" si="46"/>
        <v>0</v>
      </c>
      <c r="M75" s="19">
        <f t="shared" si="46"/>
        <v>0</v>
      </c>
      <c r="N75" s="19">
        <f t="shared" si="46"/>
        <v>0</v>
      </c>
      <c r="O75" s="19">
        <f t="shared" si="46"/>
        <v>0</v>
      </c>
      <c r="P75" s="19">
        <f t="shared" si="46"/>
        <v>0</v>
      </c>
      <c r="Q75" s="19">
        <f t="shared" si="46"/>
        <v>0</v>
      </c>
      <c r="R75" s="19">
        <f t="shared" si="46"/>
        <v>0</v>
      </c>
      <c r="S75" s="19">
        <f t="shared" si="46"/>
        <v>0</v>
      </c>
      <c r="T75" s="19">
        <f t="shared" si="46"/>
        <v>0</v>
      </c>
      <c r="U75" s="19">
        <f t="shared" si="46"/>
        <v>0</v>
      </c>
      <c r="V75" s="19">
        <f t="shared" si="46"/>
        <v>0</v>
      </c>
    </row>
    <row r="76" spans="1:22" ht="15" customHeight="1">
      <c r="A76" s="19"/>
      <c r="B76" s="19"/>
      <c r="C76" s="19"/>
      <c r="D76" s="19"/>
      <c r="E76" s="19"/>
      <c r="F76" s="19"/>
      <c r="G76" s="19"/>
      <c r="H76" s="19"/>
      <c r="I76" s="19" t="s">
        <v>75</v>
      </c>
      <c r="J76" s="19">
        <f t="shared" ref="J76:V76" si="47">ROUNDUP(J74/$F71,0)*$F71</f>
        <v>720000</v>
      </c>
      <c r="K76" s="19">
        <f t="shared" si="47"/>
        <v>0</v>
      </c>
      <c r="L76" s="19">
        <f t="shared" si="47"/>
        <v>0</v>
      </c>
      <c r="M76" s="19">
        <f t="shared" si="47"/>
        <v>720000</v>
      </c>
      <c r="N76" s="19">
        <f t="shared" si="47"/>
        <v>0</v>
      </c>
      <c r="O76" s="19">
        <f t="shared" si="47"/>
        <v>720000</v>
      </c>
      <c r="P76" s="19">
        <f t="shared" si="47"/>
        <v>0</v>
      </c>
      <c r="Q76" s="19">
        <f t="shared" si="47"/>
        <v>0</v>
      </c>
      <c r="R76" s="19">
        <f t="shared" si="47"/>
        <v>720000</v>
      </c>
      <c r="S76" s="19">
        <f t="shared" si="47"/>
        <v>0</v>
      </c>
      <c r="T76" s="19">
        <f t="shared" si="47"/>
        <v>0</v>
      </c>
      <c r="U76" s="19">
        <f t="shared" si="47"/>
        <v>0</v>
      </c>
      <c r="V76" s="19">
        <f t="shared" si="47"/>
        <v>0</v>
      </c>
    </row>
    <row r="77" spans="1:22" ht="15" customHeight="1">
      <c r="A77" s="19"/>
      <c r="B77" s="19"/>
      <c r="C77" s="19"/>
      <c r="D77" s="19"/>
      <c r="E77" s="19"/>
      <c r="F77" s="19"/>
      <c r="G77" s="19"/>
      <c r="H77" s="19"/>
      <c r="I77" s="19" t="s">
        <v>116</v>
      </c>
      <c r="J77" s="19">
        <f t="shared" ref="J77:V77" si="48">K76</f>
        <v>0</v>
      </c>
      <c r="K77" s="19">
        <f t="shared" si="48"/>
        <v>0</v>
      </c>
      <c r="L77" s="19">
        <f t="shared" si="48"/>
        <v>720000</v>
      </c>
      <c r="M77" s="19">
        <f t="shared" si="48"/>
        <v>0</v>
      </c>
      <c r="N77" s="19">
        <f t="shared" si="48"/>
        <v>720000</v>
      </c>
      <c r="O77" s="19">
        <f t="shared" si="48"/>
        <v>0</v>
      </c>
      <c r="P77" s="19">
        <f t="shared" si="48"/>
        <v>0</v>
      </c>
      <c r="Q77" s="19">
        <f t="shared" si="48"/>
        <v>720000</v>
      </c>
      <c r="R77" s="19">
        <f t="shared" si="48"/>
        <v>0</v>
      </c>
      <c r="S77" s="19">
        <f t="shared" si="48"/>
        <v>0</v>
      </c>
      <c r="T77" s="19">
        <f t="shared" si="48"/>
        <v>0</v>
      </c>
      <c r="U77" s="19">
        <f t="shared" si="48"/>
        <v>0</v>
      </c>
      <c r="V77" s="19">
        <f t="shared" si="48"/>
        <v>0</v>
      </c>
    </row>
    <row r="78" spans="1:22" ht="15" customHeight="1">
      <c r="A78" s="19">
        <v>2</v>
      </c>
      <c r="B78" s="19">
        <v>1</v>
      </c>
      <c r="C78" s="19">
        <v>0</v>
      </c>
      <c r="D78" s="19">
        <v>0</v>
      </c>
      <c r="E78" s="19">
        <v>0</v>
      </c>
      <c r="F78" s="19">
        <v>1</v>
      </c>
      <c r="G78" s="19" t="s">
        <v>39</v>
      </c>
      <c r="H78" s="19" t="s">
        <v>109</v>
      </c>
      <c r="I78" s="19" t="s">
        <v>71</v>
      </c>
      <c r="J78" s="19">
        <f t="shared" ref="J78:V78" si="49">0.2*J$27</f>
        <v>144000</v>
      </c>
      <c r="K78" s="19">
        <f t="shared" si="49"/>
        <v>0</v>
      </c>
      <c r="L78" s="19">
        <f t="shared" si="49"/>
        <v>0</v>
      </c>
      <c r="M78" s="19">
        <f t="shared" si="49"/>
        <v>144000</v>
      </c>
      <c r="N78" s="19">
        <f t="shared" si="49"/>
        <v>0</v>
      </c>
      <c r="O78" s="19">
        <f t="shared" si="49"/>
        <v>144000</v>
      </c>
      <c r="P78" s="19">
        <f t="shared" si="49"/>
        <v>0</v>
      </c>
      <c r="Q78" s="19">
        <f t="shared" si="49"/>
        <v>0</v>
      </c>
      <c r="R78" s="19">
        <f t="shared" si="49"/>
        <v>144000</v>
      </c>
      <c r="S78" s="19">
        <f t="shared" si="49"/>
        <v>0</v>
      </c>
      <c r="T78" s="19">
        <f t="shared" si="49"/>
        <v>0</v>
      </c>
      <c r="U78" s="19">
        <f t="shared" si="49"/>
        <v>0</v>
      </c>
      <c r="V78" s="19">
        <f t="shared" si="49"/>
        <v>0</v>
      </c>
    </row>
    <row r="79" spans="1:22" ht="15" customHeight="1">
      <c r="A79" s="19"/>
      <c r="B79" s="19"/>
      <c r="C79" s="19"/>
      <c r="D79" s="19"/>
      <c r="E79" s="19"/>
      <c r="F79" s="19"/>
      <c r="G79" s="19"/>
      <c r="H79" s="19"/>
      <c r="I79" s="19" t="s">
        <v>72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</row>
    <row r="80" spans="1:22" ht="15" customHeight="1">
      <c r="A80" s="19"/>
      <c r="B80" s="19"/>
      <c r="C80" s="19"/>
      <c r="D80" s="19"/>
      <c r="E80" s="19"/>
      <c r="F80" s="19"/>
      <c r="G80" s="19"/>
      <c r="H80" s="19"/>
      <c r="I80" s="19" t="s">
        <v>114</v>
      </c>
      <c r="J80" s="19">
        <f>C78-D78+J79-J78</f>
        <v>-144000</v>
      </c>
      <c r="K80" s="19">
        <f t="shared" ref="K80:V80" si="50">J82+K79-K78</f>
        <v>0</v>
      </c>
      <c r="L80" s="19">
        <f t="shared" si="50"/>
        <v>0</v>
      </c>
      <c r="M80" s="19">
        <f t="shared" si="50"/>
        <v>-144000</v>
      </c>
      <c r="N80" s="19">
        <f t="shared" si="50"/>
        <v>0</v>
      </c>
      <c r="O80" s="19">
        <f t="shared" si="50"/>
        <v>-144000</v>
      </c>
      <c r="P80" s="19">
        <f t="shared" si="50"/>
        <v>0</v>
      </c>
      <c r="Q80" s="19">
        <f t="shared" si="50"/>
        <v>0</v>
      </c>
      <c r="R80" s="19">
        <f t="shared" si="50"/>
        <v>-144000</v>
      </c>
      <c r="S80" s="19">
        <f t="shared" si="50"/>
        <v>0</v>
      </c>
      <c r="T80" s="19">
        <f t="shared" si="50"/>
        <v>0</v>
      </c>
      <c r="U80" s="19">
        <f t="shared" si="50"/>
        <v>0</v>
      </c>
      <c r="V80" s="19">
        <f t="shared" si="50"/>
        <v>0</v>
      </c>
    </row>
    <row r="81" spans="1:22" ht="15" customHeight="1">
      <c r="A81" s="19"/>
      <c r="B81" s="19"/>
      <c r="C81" s="19"/>
      <c r="D81" s="19"/>
      <c r="E81" s="19"/>
      <c r="F81" s="19"/>
      <c r="G81" s="19"/>
      <c r="H81" s="19"/>
      <c r="I81" s="19" t="s">
        <v>74</v>
      </c>
      <c r="J81" s="19">
        <f t="shared" ref="J81:V81" si="51">IF(J80-$E78&gt;0,0,$E78-J80)</f>
        <v>144000</v>
      </c>
      <c r="K81" s="19">
        <f t="shared" si="51"/>
        <v>0</v>
      </c>
      <c r="L81" s="19">
        <f t="shared" si="51"/>
        <v>0</v>
      </c>
      <c r="M81" s="19">
        <f t="shared" si="51"/>
        <v>144000</v>
      </c>
      <c r="N81" s="19">
        <f t="shared" si="51"/>
        <v>0</v>
      </c>
      <c r="O81" s="19">
        <f t="shared" si="51"/>
        <v>144000</v>
      </c>
      <c r="P81" s="19">
        <f t="shared" si="51"/>
        <v>0</v>
      </c>
      <c r="Q81" s="19">
        <f t="shared" si="51"/>
        <v>0</v>
      </c>
      <c r="R81" s="19">
        <f t="shared" si="51"/>
        <v>144000</v>
      </c>
      <c r="S81" s="19">
        <f t="shared" si="51"/>
        <v>0</v>
      </c>
      <c r="T81" s="19">
        <f t="shared" si="51"/>
        <v>0</v>
      </c>
      <c r="U81" s="19">
        <f t="shared" si="51"/>
        <v>0</v>
      </c>
      <c r="V81" s="19">
        <f t="shared" si="51"/>
        <v>0</v>
      </c>
    </row>
    <row r="82" spans="1:22" ht="30" customHeight="1">
      <c r="A82" s="19"/>
      <c r="B82" s="19"/>
      <c r="C82" s="19"/>
      <c r="D82" s="19"/>
      <c r="E82" s="19"/>
      <c r="F82" s="19"/>
      <c r="G82" s="19"/>
      <c r="H82" s="19"/>
      <c r="I82" s="19" t="s">
        <v>115</v>
      </c>
      <c r="J82" s="19">
        <f t="shared" ref="J82:V82" si="52">J80+J83</f>
        <v>0</v>
      </c>
      <c r="K82" s="19">
        <f t="shared" si="52"/>
        <v>0</v>
      </c>
      <c r="L82" s="19">
        <f t="shared" si="52"/>
        <v>0</v>
      </c>
      <c r="M82" s="19">
        <f t="shared" si="52"/>
        <v>0</v>
      </c>
      <c r="N82" s="19">
        <f t="shared" si="52"/>
        <v>0</v>
      </c>
      <c r="O82" s="19">
        <f t="shared" si="52"/>
        <v>0</v>
      </c>
      <c r="P82" s="19">
        <f t="shared" si="52"/>
        <v>0</v>
      </c>
      <c r="Q82" s="19">
        <f t="shared" si="52"/>
        <v>0</v>
      </c>
      <c r="R82" s="19">
        <f t="shared" si="52"/>
        <v>0</v>
      </c>
      <c r="S82" s="19">
        <f t="shared" si="52"/>
        <v>0</v>
      </c>
      <c r="T82" s="19">
        <f t="shared" si="52"/>
        <v>0</v>
      </c>
      <c r="U82" s="19">
        <f t="shared" si="52"/>
        <v>0</v>
      </c>
      <c r="V82" s="19">
        <f t="shared" si="52"/>
        <v>0</v>
      </c>
    </row>
    <row r="83" spans="1:22" ht="15" customHeight="1">
      <c r="A83" s="19"/>
      <c r="B83" s="19"/>
      <c r="C83" s="19"/>
      <c r="D83" s="19"/>
      <c r="E83" s="19"/>
      <c r="F83" s="19"/>
      <c r="G83" s="19"/>
      <c r="H83" s="19"/>
      <c r="I83" s="19" t="s">
        <v>75</v>
      </c>
      <c r="J83" s="19">
        <f t="shared" ref="J83:V83" si="53">ROUNDUP(J81/$F78,0)*$F78</f>
        <v>144000</v>
      </c>
      <c r="K83" s="19">
        <f t="shared" si="53"/>
        <v>0</v>
      </c>
      <c r="L83" s="19">
        <f t="shared" si="53"/>
        <v>0</v>
      </c>
      <c r="M83" s="19">
        <f t="shared" si="53"/>
        <v>144000</v>
      </c>
      <c r="N83" s="19">
        <f t="shared" si="53"/>
        <v>0</v>
      </c>
      <c r="O83" s="19">
        <f t="shared" si="53"/>
        <v>144000</v>
      </c>
      <c r="P83" s="19">
        <f t="shared" si="53"/>
        <v>0</v>
      </c>
      <c r="Q83" s="19">
        <f t="shared" si="53"/>
        <v>0</v>
      </c>
      <c r="R83" s="19">
        <f t="shared" si="53"/>
        <v>144000</v>
      </c>
      <c r="S83" s="19">
        <f t="shared" si="53"/>
        <v>0</v>
      </c>
      <c r="T83" s="19">
        <f t="shared" si="53"/>
        <v>0</v>
      </c>
      <c r="U83" s="19">
        <f t="shared" si="53"/>
        <v>0</v>
      </c>
      <c r="V83" s="19">
        <f t="shared" si="53"/>
        <v>0</v>
      </c>
    </row>
    <row r="84" spans="1:22" ht="15" customHeight="1">
      <c r="A84" s="19"/>
      <c r="B84" s="19"/>
      <c r="C84" s="19"/>
      <c r="D84" s="19"/>
      <c r="E84" s="19"/>
      <c r="F84" s="19"/>
      <c r="G84" s="19"/>
      <c r="H84" s="19"/>
      <c r="I84" s="19" t="s">
        <v>116</v>
      </c>
      <c r="J84" s="19">
        <f t="shared" ref="J84:V84" si="54">K83</f>
        <v>0</v>
      </c>
      <c r="K84" s="19">
        <f t="shared" si="54"/>
        <v>0</v>
      </c>
      <c r="L84" s="19">
        <f t="shared" si="54"/>
        <v>144000</v>
      </c>
      <c r="M84" s="19">
        <f t="shared" si="54"/>
        <v>0</v>
      </c>
      <c r="N84" s="19">
        <f t="shared" si="54"/>
        <v>144000</v>
      </c>
      <c r="O84" s="19">
        <f t="shared" si="54"/>
        <v>0</v>
      </c>
      <c r="P84" s="19">
        <f t="shared" si="54"/>
        <v>0</v>
      </c>
      <c r="Q84" s="19">
        <f t="shared" si="54"/>
        <v>144000</v>
      </c>
      <c r="R84" s="19">
        <f t="shared" si="54"/>
        <v>0</v>
      </c>
      <c r="S84" s="19">
        <f t="shared" si="54"/>
        <v>0</v>
      </c>
      <c r="T84" s="19">
        <f t="shared" si="54"/>
        <v>0</v>
      </c>
      <c r="U84" s="19">
        <f t="shared" si="54"/>
        <v>0</v>
      </c>
      <c r="V84" s="19">
        <f t="shared" si="54"/>
        <v>0</v>
      </c>
    </row>
    <row r="85" spans="1:22" ht="15" customHeight="1">
      <c r="A85" s="19">
        <v>3</v>
      </c>
      <c r="B85" s="19">
        <v>1</v>
      </c>
      <c r="C85" s="19">
        <v>0</v>
      </c>
      <c r="D85" s="19">
        <v>0</v>
      </c>
      <c r="E85" s="19">
        <v>0</v>
      </c>
      <c r="F85" s="19">
        <v>1</v>
      </c>
      <c r="G85" s="19" t="s">
        <v>27</v>
      </c>
      <c r="H85" s="19" t="s">
        <v>112</v>
      </c>
      <c r="I85" s="19" t="s">
        <v>71</v>
      </c>
      <c r="J85" s="19">
        <f t="shared" ref="J85:V85" si="55">0.26/0.25*J70</f>
        <v>0</v>
      </c>
      <c r="K85" s="19">
        <f t="shared" si="55"/>
        <v>0</v>
      </c>
      <c r="L85" s="19">
        <f t="shared" si="55"/>
        <v>29952</v>
      </c>
      <c r="M85" s="19">
        <f t="shared" si="55"/>
        <v>0</v>
      </c>
      <c r="N85" s="19">
        <f t="shared" si="55"/>
        <v>29952</v>
      </c>
      <c r="O85" s="19">
        <f t="shared" si="55"/>
        <v>0</v>
      </c>
      <c r="P85" s="19">
        <f t="shared" si="55"/>
        <v>0</v>
      </c>
      <c r="Q85" s="19">
        <f t="shared" si="55"/>
        <v>29952</v>
      </c>
      <c r="R85" s="19">
        <f t="shared" si="55"/>
        <v>0</v>
      </c>
      <c r="S85" s="19">
        <f t="shared" si="55"/>
        <v>0</v>
      </c>
      <c r="T85" s="19">
        <f t="shared" si="55"/>
        <v>0</v>
      </c>
      <c r="U85" s="19">
        <f t="shared" si="55"/>
        <v>0</v>
      </c>
      <c r="V85" s="19">
        <f t="shared" si="55"/>
        <v>0</v>
      </c>
    </row>
    <row r="86" spans="1:22" ht="15" customHeight="1">
      <c r="A86" s="19"/>
      <c r="B86" s="19"/>
      <c r="C86" s="19"/>
      <c r="D86" s="19"/>
      <c r="E86" s="19"/>
      <c r="F86" s="19"/>
      <c r="G86" s="19"/>
      <c r="H86" s="19"/>
      <c r="I86" s="19" t="s">
        <v>72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</row>
    <row r="87" spans="1:22" ht="15" customHeight="1">
      <c r="A87" s="19"/>
      <c r="B87" s="19"/>
      <c r="C87" s="19"/>
      <c r="D87" s="19"/>
      <c r="E87" s="19"/>
      <c r="F87" s="19"/>
      <c r="G87" s="19"/>
      <c r="H87" s="19"/>
      <c r="I87" s="19" t="s">
        <v>114</v>
      </c>
      <c r="J87" s="19">
        <f>C85-D85+J86-J85</f>
        <v>0</v>
      </c>
      <c r="K87" s="19">
        <f t="shared" ref="K87:V87" si="56">J89+K86-K85</f>
        <v>0</v>
      </c>
      <c r="L87" s="19">
        <f t="shared" si="56"/>
        <v>-29952</v>
      </c>
      <c r="M87" s="19">
        <f t="shared" si="56"/>
        <v>0</v>
      </c>
      <c r="N87" s="19">
        <f t="shared" si="56"/>
        <v>-29952</v>
      </c>
      <c r="O87" s="19">
        <f t="shared" si="56"/>
        <v>0</v>
      </c>
      <c r="P87" s="19">
        <f t="shared" si="56"/>
        <v>0</v>
      </c>
      <c r="Q87" s="19">
        <f t="shared" si="56"/>
        <v>-29952</v>
      </c>
      <c r="R87" s="19">
        <f t="shared" si="56"/>
        <v>0</v>
      </c>
      <c r="S87" s="19">
        <f t="shared" si="56"/>
        <v>0</v>
      </c>
      <c r="T87" s="19">
        <f t="shared" si="56"/>
        <v>0</v>
      </c>
      <c r="U87" s="19">
        <f t="shared" si="56"/>
        <v>0</v>
      </c>
      <c r="V87" s="19">
        <f t="shared" si="56"/>
        <v>0</v>
      </c>
    </row>
    <row r="88" spans="1:22" ht="15" customHeight="1">
      <c r="A88" s="19"/>
      <c r="B88" s="19"/>
      <c r="C88" s="19"/>
      <c r="D88" s="19"/>
      <c r="E88" s="19"/>
      <c r="F88" s="19"/>
      <c r="G88" s="19"/>
      <c r="H88" s="19"/>
      <c r="I88" s="19" t="s">
        <v>74</v>
      </c>
      <c r="J88" s="19">
        <f t="shared" ref="J88:V88" si="57">IF(J87-$E85&gt;0,0,$E85-J87)</f>
        <v>0</v>
      </c>
      <c r="K88" s="19">
        <f t="shared" si="57"/>
        <v>0</v>
      </c>
      <c r="L88" s="19">
        <f t="shared" si="57"/>
        <v>29952</v>
      </c>
      <c r="M88" s="19">
        <f t="shared" si="57"/>
        <v>0</v>
      </c>
      <c r="N88" s="19">
        <f t="shared" si="57"/>
        <v>29952</v>
      </c>
      <c r="O88" s="19">
        <f t="shared" si="57"/>
        <v>0</v>
      </c>
      <c r="P88" s="19">
        <f t="shared" si="57"/>
        <v>0</v>
      </c>
      <c r="Q88" s="19">
        <f t="shared" si="57"/>
        <v>29952</v>
      </c>
      <c r="R88" s="19">
        <f t="shared" si="57"/>
        <v>0</v>
      </c>
      <c r="S88" s="19">
        <f t="shared" si="57"/>
        <v>0</v>
      </c>
      <c r="T88" s="19">
        <f t="shared" si="57"/>
        <v>0</v>
      </c>
      <c r="U88" s="19">
        <f t="shared" si="57"/>
        <v>0</v>
      </c>
      <c r="V88" s="19">
        <f t="shared" si="57"/>
        <v>0</v>
      </c>
    </row>
    <row r="89" spans="1:22" ht="30" customHeight="1">
      <c r="A89" s="19"/>
      <c r="B89" s="19"/>
      <c r="C89" s="19"/>
      <c r="D89" s="19"/>
      <c r="E89" s="19"/>
      <c r="F89" s="19"/>
      <c r="G89" s="19"/>
      <c r="H89" s="19"/>
      <c r="I89" s="19" t="s">
        <v>115</v>
      </c>
      <c r="J89" s="19">
        <f t="shared" ref="J89:V89" si="58">J87+J90</f>
        <v>0</v>
      </c>
      <c r="K89" s="19">
        <f t="shared" si="58"/>
        <v>0</v>
      </c>
      <c r="L89" s="19">
        <f t="shared" si="58"/>
        <v>0</v>
      </c>
      <c r="M89" s="19">
        <f t="shared" si="58"/>
        <v>0</v>
      </c>
      <c r="N89" s="19">
        <f t="shared" si="58"/>
        <v>0</v>
      </c>
      <c r="O89" s="19">
        <f t="shared" si="58"/>
        <v>0</v>
      </c>
      <c r="P89" s="19">
        <f t="shared" si="58"/>
        <v>0</v>
      </c>
      <c r="Q89" s="19">
        <f t="shared" si="58"/>
        <v>0</v>
      </c>
      <c r="R89" s="19">
        <f t="shared" si="58"/>
        <v>0</v>
      </c>
      <c r="S89" s="19">
        <f t="shared" si="58"/>
        <v>0</v>
      </c>
      <c r="T89" s="19">
        <f t="shared" si="58"/>
        <v>0</v>
      </c>
      <c r="U89" s="19">
        <f t="shared" si="58"/>
        <v>0</v>
      </c>
      <c r="V89" s="19">
        <f t="shared" si="58"/>
        <v>0</v>
      </c>
    </row>
    <row r="90" spans="1:22" ht="15" customHeight="1">
      <c r="A90" s="19"/>
      <c r="B90" s="19"/>
      <c r="C90" s="19"/>
      <c r="D90" s="19"/>
      <c r="E90" s="19"/>
      <c r="F90" s="19"/>
      <c r="G90" s="19"/>
      <c r="H90" s="19"/>
      <c r="I90" s="19" t="s">
        <v>75</v>
      </c>
      <c r="J90" s="19">
        <f t="shared" ref="J90:V90" si="59">ROUNDUP(J88/$F85,0)*$F85</f>
        <v>0</v>
      </c>
      <c r="K90" s="19">
        <f t="shared" si="59"/>
        <v>0</v>
      </c>
      <c r="L90" s="19">
        <f t="shared" si="59"/>
        <v>29952</v>
      </c>
      <c r="M90" s="19">
        <f t="shared" si="59"/>
        <v>0</v>
      </c>
      <c r="N90" s="19">
        <f t="shared" si="59"/>
        <v>29952</v>
      </c>
      <c r="O90" s="19">
        <f t="shared" si="59"/>
        <v>0</v>
      </c>
      <c r="P90" s="19">
        <f t="shared" si="59"/>
        <v>0</v>
      </c>
      <c r="Q90" s="19">
        <f t="shared" si="59"/>
        <v>29952</v>
      </c>
      <c r="R90" s="19">
        <f t="shared" si="59"/>
        <v>0</v>
      </c>
      <c r="S90" s="19">
        <f t="shared" si="59"/>
        <v>0</v>
      </c>
      <c r="T90" s="19">
        <f t="shared" si="59"/>
        <v>0</v>
      </c>
      <c r="U90" s="19">
        <f t="shared" si="59"/>
        <v>0</v>
      </c>
      <c r="V90" s="19">
        <f t="shared" si="59"/>
        <v>0</v>
      </c>
    </row>
    <row r="91" spans="1:22" ht="15" customHeight="1">
      <c r="A91" s="19"/>
      <c r="B91" s="19"/>
      <c r="C91" s="19"/>
      <c r="D91" s="19"/>
      <c r="E91" s="19"/>
      <c r="F91" s="19"/>
      <c r="G91" s="19"/>
      <c r="H91" s="19"/>
      <c r="I91" s="19" t="s">
        <v>116</v>
      </c>
      <c r="J91" s="19">
        <f t="shared" ref="J91:V91" si="60">K90</f>
        <v>0</v>
      </c>
      <c r="K91" s="19">
        <f t="shared" si="60"/>
        <v>29952</v>
      </c>
      <c r="L91" s="19">
        <f t="shared" si="60"/>
        <v>0</v>
      </c>
      <c r="M91" s="19">
        <f t="shared" si="60"/>
        <v>29952</v>
      </c>
      <c r="N91" s="19">
        <f t="shared" si="60"/>
        <v>0</v>
      </c>
      <c r="O91" s="19">
        <f t="shared" si="60"/>
        <v>0</v>
      </c>
      <c r="P91" s="19">
        <f t="shared" si="60"/>
        <v>29952</v>
      </c>
      <c r="Q91" s="19">
        <f t="shared" si="60"/>
        <v>0</v>
      </c>
      <c r="R91" s="19">
        <f t="shared" si="60"/>
        <v>0</v>
      </c>
      <c r="S91" s="19">
        <f t="shared" si="60"/>
        <v>0</v>
      </c>
      <c r="T91" s="19">
        <f t="shared" si="60"/>
        <v>0</v>
      </c>
      <c r="U91" s="19">
        <f t="shared" si="60"/>
        <v>0</v>
      </c>
      <c r="V91" s="19">
        <f t="shared" si="60"/>
        <v>0</v>
      </c>
    </row>
  </sheetData>
  <phoneticPr fontId="5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3"/>
  <sheetViews>
    <sheetView showGridLines="0" topLeftCell="G1" workbookViewId="0">
      <pane ySplit="3" topLeftCell="A39" activePane="bottomLeft" state="frozen"/>
      <selection pane="bottomLeft" activeCell="O47" sqref="O47"/>
    </sheetView>
  </sheetViews>
  <sheetFormatPr defaultRowHeight="13.8"/>
  <cols>
    <col min="1" max="1" width="53.88671875" style="22" bestFit="1" customWidth="1"/>
    <col min="2" max="2" width="17.33203125" style="22" bestFit="1" customWidth="1"/>
    <col min="3" max="3" width="12.5546875" style="22" bestFit="1" customWidth="1"/>
    <col min="4" max="4" width="17.33203125" style="22" bestFit="1" customWidth="1"/>
    <col min="5" max="5" width="14" style="22" bestFit="1" customWidth="1"/>
    <col min="6" max="6" width="13.77734375" style="22" bestFit="1" customWidth="1"/>
    <col min="7" max="7" width="13" style="22" bestFit="1" customWidth="1"/>
    <col min="8" max="9" width="13.44140625" style="22" bestFit="1" customWidth="1"/>
    <col min="10" max="10" width="6" style="22" bestFit="1" customWidth="1"/>
    <col min="11" max="11" width="7.21875" style="22" bestFit="1" customWidth="1"/>
    <col min="12" max="12" width="7.109375" style="22" bestFit="1" customWidth="1"/>
    <col min="13" max="13" width="6" style="22" bestFit="1" customWidth="1"/>
    <col min="14" max="14" width="8.21875" style="22" bestFit="1" customWidth="1"/>
    <col min="15" max="15" width="42.21875" style="22" customWidth="1"/>
    <col min="16" max="17" width="11.6640625" style="22" bestFit="1" customWidth="1"/>
    <col min="18" max="18" width="5.5546875" style="22" bestFit="1" customWidth="1"/>
    <col min="19" max="19" width="7.5546875" style="22" bestFit="1" customWidth="1"/>
    <col min="20" max="20" width="9.5546875" style="22" bestFit="1" customWidth="1"/>
    <col min="21" max="27" width="13" style="22" customWidth="1"/>
  </cols>
  <sheetData>
    <row r="1" spans="1:20" ht="15" customHeight="1">
      <c r="A1" s="19" t="s">
        <v>117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20" ht="1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0" ht="15" customHeight="1">
      <c r="A3" s="19" t="s">
        <v>118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R3" s="21" t="s">
        <v>45</v>
      </c>
      <c r="S3" s="21" t="s">
        <v>119</v>
      </c>
      <c r="T3" s="21" t="s">
        <v>120</v>
      </c>
    </row>
    <row r="4" spans="1:20" ht="15" customHeight="1">
      <c r="A4" s="19" t="s">
        <v>104</v>
      </c>
      <c r="B4" s="19" t="s">
        <v>121</v>
      </c>
      <c r="C4" s="19" t="s">
        <v>122</v>
      </c>
      <c r="D4" s="19" t="s">
        <v>123</v>
      </c>
      <c r="E4" s="19" t="s">
        <v>124</v>
      </c>
      <c r="F4" s="19" t="s">
        <v>125</v>
      </c>
      <c r="G4" s="19" t="s">
        <v>126</v>
      </c>
      <c r="H4" s="19" t="s">
        <v>127</v>
      </c>
      <c r="I4" s="19" t="s">
        <v>128</v>
      </c>
      <c r="J4" s="19" t="s">
        <v>129</v>
      </c>
      <c r="K4" s="19" t="s">
        <v>130</v>
      </c>
      <c r="L4" s="19" t="s">
        <v>131</v>
      </c>
      <c r="M4" s="19" t="s">
        <v>132</v>
      </c>
      <c r="N4" s="19" t="s">
        <v>133</v>
      </c>
      <c r="O4" s="19" t="s">
        <v>134</v>
      </c>
      <c r="R4" s="21">
        <v>1</v>
      </c>
      <c r="S4" s="21">
        <v>0</v>
      </c>
      <c r="T4" s="21">
        <v>16678.2</v>
      </c>
    </row>
    <row r="5" spans="1:20" ht="15" customHeight="1">
      <c r="A5" s="19" t="s">
        <v>135</v>
      </c>
      <c r="B5" s="19">
        <v>0</v>
      </c>
      <c r="C5" s="19">
        <v>30000</v>
      </c>
      <c r="D5" s="19">
        <v>0</v>
      </c>
      <c r="E5" s="19">
        <v>0</v>
      </c>
      <c r="F5" s="19">
        <v>30000</v>
      </c>
      <c r="G5" s="19">
        <v>0</v>
      </c>
      <c r="H5" s="19">
        <v>30000</v>
      </c>
      <c r="I5" s="19">
        <v>0</v>
      </c>
      <c r="J5" s="19">
        <v>0</v>
      </c>
      <c r="K5" s="19">
        <v>30000</v>
      </c>
      <c r="L5" s="19">
        <v>0</v>
      </c>
      <c r="M5" s="19">
        <v>0</v>
      </c>
      <c r="N5" s="19">
        <v>120000</v>
      </c>
      <c r="O5" s="19" t="s">
        <v>136</v>
      </c>
      <c r="R5" s="21">
        <v>2</v>
      </c>
      <c r="S5" s="21">
        <v>15000</v>
      </c>
      <c r="T5" s="21">
        <v>16678.2</v>
      </c>
    </row>
    <row r="6" spans="1:20" ht="15" customHeight="1">
      <c r="A6" s="19" t="s">
        <v>137</v>
      </c>
      <c r="B6" s="19">
        <v>0</v>
      </c>
      <c r="C6" s="19">
        <v>30000</v>
      </c>
      <c r="D6" s="19">
        <v>0</v>
      </c>
      <c r="E6" s="19">
        <v>0</v>
      </c>
      <c r="F6" s="19">
        <v>30000</v>
      </c>
      <c r="G6" s="19">
        <v>0</v>
      </c>
      <c r="H6" s="19">
        <v>30000</v>
      </c>
      <c r="I6" s="19">
        <v>0</v>
      </c>
      <c r="J6" s="19">
        <v>0</v>
      </c>
      <c r="K6" s="19">
        <v>30000</v>
      </c>
      <c r="L6" s="19">
        <v>0</v>
      </c>
      <c r="M6" s="19">
        <v>0</v>
      </c>
      <c r="N6" s="19">
        <v>120000</v>
      </c>
      <c r="O6" s="19" t="s">
        <v>138</v>
      </c>
      <c r="R6" s="21">
        <v>3</v>
      </c>
      <c r="S6" s="21">
        <v>0</v>
      </c>
      <c r="T6" s="21">
        <v>16678.2</v>
      </c>
    </row>
    <row r="7" spans="1:20" ht="15" customHeight="1">
      <c r="A7" s="19" t="s">
        <v>139</v>
      </c>
      <c r="B7" s="19"/>
      <c r="C7" s="19" t="s">
        <v>140</v>
      </c>
      <c r="D7" s="19"/>
      <c r="E7" s="19"/>
      <c r="F7" s="19" t="s">
        <v>140</v>
      </c>
      <c r="G7" s="19"/>
      <c r="H7" s="19" t="s">
        <v>140</v>
      </c>
      <c r="I7" s="19"/>
      <c r="J7" s="19"/>
      <c r="K7" s="19" t="s">
        <v>140</v>
      </c>
      <c r="L7" s="19"/>
      <c r="M7" s="19"/>
      <c r="N7" s="19" t="s">
        <v>141</v>
      </c>
      <c r="O7" s="19" t="s">
        <v>142</v>
      </c>
      <c r="R7" s="21">
        <v>4</v>
      </c>
      <c r="S7" s="21">
        <v>0</v>
      </c>
      <c r="T7" s="21">
        <v>16678.2</v>
      </c>
    </row>
    <row r="8" spans="1:20" ht="1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R8" s="21">
        <v>5</v>
      </c>
      <c r="S8" s="21">
        <v>15000</v>
      </c>
      <c r="T8" s="21">
        <v>16678.2</v>
      </c>
    </row>
    <row r="9" spans="1:20" ht="1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R9" s="21">
        <v>6</v>
      </c>
      <c r="S9" s="21">
        <v>0</v>
      </c>
      <c r="T9" s="21">
        <v>16678.2</v>
      </c>
    </row>
    <row r="10" spans="1:20" ht="15" customHeight="1">
      <c r="A10" s="19" t="s">
        <v>143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R10" s="21">
        <v>7</v>
      </c>
      <c r="S10" s="21">
        <v>15000</v>
      </c>
      <c r="T10" s="21">
        <v>16678.2</v>
      </c>
    </row>
    <row r="11" spans="1:20" ht="1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R11" s="21">
        <v>8</v>
      </c>
      <c r="S11" s="21">
        <v>0</v>
      </c>
      <c r="T11" s="21">
        <v>16678.2</v>
      </c>
    </row>
    <row r="12" spans="1:20" ht="30" customHeight="1">
      <c r="A12" s="19" t="s">
        <v>144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R12" s="21">
        <v>9</v>
      </c>
      <c r="S12" s="21">
        <v>0</v>
      </c>
      <c r="T12" s="21">
        <v>16678.2</v>
      </c>
    </row>
    <row r="13" spans="1:20" ht="15" customHeight="1">
      <c r="A13" s="19" t="s">
        <v>145</v>
      </c>
      <c r="B13" s="19" t="s">
        <v>146</v>
      </c>
      <c r="C13" s="19" t="s">
        <v>147</v>
      </c>
      <c r="D13" s="19" t="s">
        <v>148</v>
      </c>
      <c r="E13" s="19" t="s">
        <v>149</v>
      </c>
      <c r="F13" s="19" t="s">
        <v>150</v>
      </c>
      <c r="G13" s="19" t="s">
        <v>151</v>
      </c>
      <c r="H13" s="19" t="s">
        <v>152</v>
      </c>
      <c r="I13" s="19" t="s">
        <v>153</v>
      </c>
      <c r="J13" s="19"/>
      <c r="K13" s="19"/>
      <c r="L13" s="19"/>
      <c r="M13" s="19"/>
      <c r="N13" s="19"/>
      <c r="O13" s="19"/>
      <c r="R13" s="21">
        <v>10</v>
      </c>
      <c r="S13" s="21">
        <v>15000</v>
      </c>
      <c r="T13" s="21">
        <v>16678.2</v>
      </c>
    </row>
    <row r="14" spans="1:20" ht="15" customHeight="1">
      <c r="A14" s="19" t="s">
        <v>85</v>
      </c>
      <c r="B14" s="19" t="s">
        <v>154</v>
      </c>
      <c r="C14" s="19" t="s">
        <v>155</v>
      </c>
      <c r="D14" s="19" t="s">
        <v>156</v>
      </c>
      <c r="E14" s="19">
        <v>7.4999999999999997E-2</v>
      </c>
      <c r="F14" s="19">
        <v>0.3</v>
      </c>
      <c r="G14" s="19">
        <v>60</v>
      </c>
      <c r="H14" s="19">
        <v>5.0000000000000001E-3</v>
      </c>
      <c r="I14" s="19">
        <v>0.08</v>
      </c>
      <c r="J14" s="19"/>
      <c r="K14" s="19"/>
      <c r="L14" s="19"/>
      <c r="M14" s="19"/>
      <c r="N14" s="19"/>
      <c r="O14" s="19"/>
      <c r="R14" s="21">
        <v>11</v>
      </c>
      <c r="S14" s="21">
        <v>0</v>
      </c>
      <c r="T14" s="21">
        <v>16678.2</v>
      </c>
    </row>
    <row r="15" spans="1:20" ht="15" customHeight="1">
      <c r="A15" s="19" t="s">
        <v>157</v>
      </c>
      <c r="B15" s="19" t="s">
        <v>158</v>
      </c>
      <c r="C15" s="19" t="s">
        <v>159</v>
      </c>
      <c r="D15" s="19" t="s">
        <v>160</v>
      </c>
      <c r="E15" s="19">
        <v>9.1999999999999998E-2</v>
      </c>
      <c r="F15" s="19">
        <v>0.48</v>
      </c>
      <c r="G15" s="19">
        <v>60</v>
      </c>
      <c r="H15" s="19">
        <v>8.0000000000000002E-3</v>
      </c>
      <c r="I15" s="19">
        <v>0.1</v>
      </c>
      <c r="J15" s="19"/>
      <c r="K15" s="19"/>
      <c r="L15" s="19"/>
      <c r="M15" s="19"/>
      <c r="N15" s="19"/>
      <c r="O15" s="19"/>
      <c r="R15" s="21">
        <v>12</v>
      </c>
      <c r="S15" s="21">
        <v>0</v>
      </c>
      <c r="T15" s="21">
        <v>16678.2</v>
      </c>
    </row>
    <row r="16" spans="1:20" ht="15" customHeight="1">
      <c r="A16" s="19" t="s">
        <v>161</v>
      </c>
      <c r="B16" s="19" t="s">
        <v>162</v>
      </c>
      <c r="C16" s="19" t="s">
        <v>163</v>
      </c>
      <c r="D16" s="19" t="s">
        <v>164</v>
      </c>
      <c r="E16" s="19">
        <v>0.14499999999999999</v>
      </c>
      <c r="F16" s="19">
        <v>0.9</v>
      </c>
      <c r="G16" s="19">
        <v>60</v>
      </c>
      <c r="H16" s="19">
        <v>1.4999999999999999E-2</v>
      </c>
      <c r="I16" s="19">
        <v>0.16</v>
      </c>
      <c r="J16" s="19"/>
      <c r="K16" s="19"/>
      <c r="L16" s="19"/>
      <c r="M16" s="19"/>
      <c r="N16" s="19"/>
      <c r="O16" s="19"/>
    </row>
    <row r="17" spans="1:15" ht="15" customHeight="1">
      <c r="A17" s="19" t="s">
        <v>165</v>
      </c>
      <c r="B17" s="19" t="s">
        <v>166</v>
      </c>
      <c r="C17" s="19" t="s">
        <v>167</v>
      </c>
      <c r="D17" s="19" t="s">
        <v>168</v>
      </c>
      <c r="E17" s="19">
        <v>9.4E-2</v>
      </c>
      <c r="F17" s="19">
        <v>0.36</v>
      </c>
      <c r="G17" s="19">
        <v>60</v>
      </c>
      <c r="H17" s="19">
        <v>6.0000000000000001E-3</v>
      </c>
      <c r="I17" s="19">
        <v>0.1</v>
      </c>
      <c r="J17" s="19"/>
      <c r="K17" s="19"/>
      <c r="L17" s="19"/>
      <c r="M17" s="19"/>
      <c r="N17" s="19"/>
      <c r="O17" s="19"/>
    </row>
    <row r="18" spans="1:15" ht="15" customHeight="1">
      <c r="A18" s="19" t="s">
        <v>169</v>
      </c>
      <c r="B18" s="19" t="s">
        <v>170</v>
      </c>
      <c r="C18" s="19" t="s">
        <v>171</v>
      </c>
      <c r="D18" s="19" t="s">
        <v>172</v>
      </c>
      <c r="E18" s="19">
        <v>5.6000000000000001E-2</v>
      </c>
      <c r="F18" s="19">
        <v>0.24</v>
      </c>
      <c r="G18" s="19">
        <v>60</v>
      </c>
      <c r="H18" s="19">
        <v>4.0000000000000001E-3</v>
      </c>
      <c r="I18" s="19">
        <v>0.06</v>
      </c>
      <c r="J18" s="19"/>
      <c r="K18" s="19"/>
      <c r="L18" s="19"/>
      <c r="M18" s="19"/>
      <c r="N18" s="19"/>
      <c r="O18" s="19"/>
    </row>
    <row r="19" spans="1:15" ht="15" customHeight="1">
      <c r="A19" s="19" t="s">
        <v>133</v>
      </c>
      <c r="B19" s="19"/>
      <c r="C19" s="19"/>
      <c r="D19" s="19"/>
      <c r="E19" s="19">
        <f>SUM(E14:E18)</f>
        <v>0.46199999999999991</v>
      </c>
      <c r="F19" s="19"/>
      <c r="G19" s="19"/>
      <c r="H19" s="19">
        <f>SUM(H14:H18)</f>
        <v>3.8000000000000006E-2</v>
      </c>
      <c r="I19" s="19">
        <f>SUM(I14:I18)</f>
        <v>0.49999999999999994</v>
      </c>
      <c r="J19" s="19"/>
      <c r="K19" s="19"/>
      <c r="L19" s="19"/>
      <c r="M19" s="19"/>
      <c r="N19" s="19"/>
      <c r="O19" s="19"/>
    </row>
    <row r="20" spans="1:15" ht="1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ht="1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ht="15" customHeight="1">
      <c r="A22" s="19" t="s">
        <v>173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30" customHeight="1">
      <c r="A23" s="19" t="s">
        <v>147</v>
      </c>
      <c r="B23" s="19" t="s">
        <v>148</v>
      </c>
      <c r="C23" s="19" t="s">
        <v>174</v>
      </c>
      <c r="D23" s="19" t="s">
        <v>175</v>
      </c>
      <c r="E23" s="19" t="s">
        <v>176</v>
      </c>
      <c r="F23" s="19" t="s">
        <v>177</v>
      </c>
      <c r="G23" s="19" t="s">
        <v>178</v>
      </c>
      <c r="H23" s="19" t="s">
        <v>179</v>
      </c>
      <c r="I23" s="19" t="s">
        <v>180</v>
      </c>
      <c r="J23" s="19"/>
      <c r="K23" s="19"/>
      <c r="L23" s="19"/>
      <c r="M23" s="19"/>
      <c r="N23" s="19"/>
      <c r="O23" s="19"/>
    </row>
    <row r="24" spans="1:15" ht="15" customHeight="1">
      <c r="A24" s="19" t="s">
        <v>155</v>
      </c>
      <c r="B24" s="19" t="s">
        <v>156</v>
      </c>
      <c r="C24" s="19">
        <v>1</v>
      </c>
      <c r="D24" s="19">
        <v>1</v>
      </c>
      <c r="E24" s="19">
        <v>16</v>
      </c>
      <c r="F24" s="19">
        <v>2541.44</v>
      </c>
      <c r="G24" s="19">
        <v>2400</v>
      </c>
      <c r="H24" s="19">
        <v>0.94434651221354837</v>
      </c>
      <c r="I24" s="19">
        <v>0.94434651221354837</v>
      </c>
      <c r="J24" s="19"/>
      <c r="K24" s="19"/>
      <c r="L24" s="19"/>
      <c r="M24" s="19"/>
      <c r="N24" s="19"/>
      <c r="O24" s="19"/>
    </row>
    <row r="25" spans="1:15" ht="15" customHeight="1">
      <c r="A25" s="19" t="s">
        <v>159</v>
      </c>
      <c r="B25" s="19" t="s">
        <v>160</v>
      </c>
      <c r="C25" s="19">
        <v>1</v>
      </c>
      <c r="D25" s="19">
        <v>1</v>
      </c>
      <c r="E25" s="19">
        <v>20</v>
      </c>
      <c r="F25" s="19">
        <v>3176.7999999999988</v>
      </c>
      <c r="G25" s="19">
        <v>3000</v>
      </c>
      <c r="H25" s="19">
        <v>0.94434651221354848</v>
      </c>
      <c r="I25" s="19">
        <v>0.94434651221354848</v>
      </c>
      <c r="J25" s="19"/>
      <c r="K25" s="19"/>
      <c r="L25" s="19"/>
      <c r="M25" s="19"/>
      <c r="N25" s="19"/>
      <c r="O25" s="19"/>
    </row>
    <row r="26" spans="1:15" ht="15" customHeight="1">
      <c r="A26" s="19" t="s">
        <v>163</v>
      </c>
      <c r="B26" s="19" t="s">
        <v>164</v>
      </c>
      <c r="C26" s="19">
        <v>2</v>
      </c>
      <c r="D26" s="19">
        <v>1</v>
      </c>
      <c r="E26" s="19">
        <v>31</v>
      </c>
      <c r="F26" s="19">
        <v>4924.0399999999991</v>
      </c>
      <c r="G26" s="19">
        <v>4800</v>
      </c>
      <c r="H26" s="19">
        <v>0.97480930293011447</v>
      </c>
      <c r="I26" s="19">
        <v>0.97480930293011447</v>
      </c>
      <c r="J26" s="19"/>
      <c r="K26" s="19"/>
      <c r="L26" s="19"/>
      <c r="M26" s="19"/>
      <c r="N26" s="19"/>
      <c r="O26" s="19"/>
    </row>
    <row r="27" spans="1:15" ht="15" customHeight="1">
      <c r="A27" s="19" t="s">
        <v>167</v>
      </c>
      <c r="B27" s="19" t="s">
        <v>168</v>
      </c>
      <c r="C27" s="19">
        <v>1</v>
      </c>
      <c r="D27" s="19">
        <v>1</v>
      </c>
      <c r="E27" s="19">
        <v>20</v>
      </c>
      <c r="F27" s="19">
        <v>3176.7999999999988</v>
      </c>
      <c r="G27" s="19">
        <v>3000</v>
      </c>
      <c r="H27" s="19">
        <v>0.94434651221354848</v>
      </c>
      <c r="I27" s="19">
        <v>0.94434651221354848</v>
      </c>
      <c r="J27" s="19"/>
      <c r="K27" s="19"/>
      <c r="L27" s="19"/>
      <c r="M27" s="19"/>
      <c r="N27" s="19"/>
      <c r="O27" s="19"/>
    </row>
    <row r="28" spans="1:15" ht="15" customHeight="1">
      <c r="A28" s="19" t="s">
        <v>171</v>
      </c>
      <c r="B28" s="19" t="s">
        <v>172</v>
      </c>
      <c r="C28" s="19">
        <v>1</v>
      </c>
      <c r="D28" s="19">
        <v>1</v>
      </c>
      <c r="E28" s="19">
        <v>18</v>
      </c>
      <c r="F28" s="19">
        <v>2859.119999999999</v>
      </c>
      <c r="G28" s="19">
        <v>1800</v>
      </c>
      <c r="H28" s="19">
        <v>0.62956434147569895</v>
      </c>
      <c r="I28" s="19">
        <v>0.62956434147569895</v>
      </c>
      <c r="J28" s="19"/>
      <c r="K28" s="19"/>
      <c r="L28" s="19"/>
      <c r="M28" s="19"/>
      <c r="N28" s="19"/>
      <c r="O28" s="19"/>
    </row>
    <row r="29" spans="1:15" ht="15" customHeight="1">
      <c r="A29" s="19" t="s">
        <v>133</v>
      </c>
      <c r="B29" s="19"/>
      <c r="C29" s="19"/>
      <c r="D29" s="19"/>
      <c r="E29" s="19"/>
      <c r="F29" s="19">
        <f>SUM(F24:F28)</f>
        <v>16678.199999999997</v>
      </c>
      <c r="G29" s="19">
        <f>SUM(G24:G28)</f>
        <v>15000</v>
      </c>
      <c r="H29" s="19">
        <f>G29/F29</f>
        <v>0.89937763067956988</v>
      </c>
      <c r="I29" s="19">
        <f>G29/F29</f>
        <v>0.89937763067956988</v>
      </c>
      <c r="J29" s="19"/>
      <c r="K29" s="19"/>
      <c r="L29" s="19"/>
      <c r="M29" s="19"/>
      <c r="N29" s="19"/>
      <c r="O29" s="19"/>
    </row>
    <row r="30" spans="1:15" ht="1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ht="1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ht="15" customHeight="1">
      <c r="A32" s="19" t="s">
        <v>181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8" ht="15" customHeight="1">
      <c r="A33" s="19" t="s">
        <v>182</v>
      </c>
      <c r="B33" s="19" t="s">
        <v>183</v>
      </c>
      <c r="C33" s="19" t="s">
        <v>155</v>
      </c>
      <c r="D33" s="19" t="s">
        <v>159</v>
      </c>
      <c r="E33" s="19" t="s">
        <v>163</v>
      </c>
      <c r="F33" s="19" t="s">
        <v>167</v>
      </c>
      <c r="G33" s="19" t="s">
        <v>171</v>
      </c>
      <c r="H33" s="19" t="s">
        <v>184</v>
      </c>
      <c r="I33" s="19"/>
      <c r="J33" s="19"/>
      <c r="K33" s="19"/>
      <c r="L33" s="19"/>
      <c r="M33" s="19"/>
      <c r="N33" s="19"/>
      <c r="O33" s="19"/>
    </row>
    <row r="34" spans="1:18" ht="45" customHeight="1">
      <c r="A34" s="19">
        <v>2</v>
      </c>
      <c r="B34" s="19">
        <v>30000</v>
      </c>
      <c r="C34" s="19" t="s">
        <v>185</v>
      </c>
      <c r="D34" s="19" t="s">
        <v>185</v>
      </c>
      <c r="E34" s="19" t="s">
        <v>186</v>
      </c>
      <c r="F34" s="19" t="s">
        <v>186</v>
      </c>
      <c r="G34" s="19" t="s">
        <v>187</v>
      </c>
      <c r="H34" s="19" t="s">
        <v>188</v>
      </c>
      <c r="I34" s="19"/>
      <c r="J34" s="19"/>
      <c r="K34" s="19"/>
      <c r="L34" s="19"/>
      <c r="M34" s="19"/>
      <c r="N34" s="19"/>
      <c r="O34" s="19"/>
    </row>
    <row r="35" spans="1:18" ht="45" customHeight="1">
      <c r="A35" s="19">
        <v>5</v>
      </c>
      <c r="B35" s="19">
        <v>30000</v>
      </c>
      <c r="C35" s="19" t="s">
        <v>189</v>
      </c>
      <c r="D35" s="19" t="s">
        <v>189</v>
      </c>
      <c r="E35" s="19" t="s">
        <v>190</v>
      </c>
      <c r="F35" s="19" t="s">
        <v>190</v>
      </c>
      <c r="G35" s="19" t="s">
        <v>191</v>
      </c>
      <c r="H35" s="19" t="s">
        <v>188</v>
      </c>
      <c r="I35" s="19"/>
      <c r="J35" s="19"/>
      <c r="K35" s="19"/>
      <c r="L35" s="19"/>
      <c r="M35" s="19"/>
      <c r="N35" s="19"/>
      <c r="O35" s="19"/>
    </row>
    <row r="36" spans="1:18" ht="45" customHeight="1">
      <c r="A36" s="19">
        <v>7</v>
      </c>
      <c r="B36" s="19">
        <v>30000</v>
      </c>
      <c r="C36" s="19" t="s">
        <v>192</v>
      </c>
      <c r="D36" s="19" t="s">
        <v>192</v>
      </c>
      <c r="E36" s="19" t="s">
        <v>193</v>
      </c>
      <c r="F36" s="19" t="s">
        <v>193</v>
      </c>
      <c r="G36" s="19" t="s">
        <v>194</v>
      </c>
      <c r="H36" s="19" t="s">
        <v>188</v>
      </c>
      <c r="I36" s="19"/>
      <c r="J36" s="19"/>
      <c r="K36" s="19"/>
      <c r="L36" s="19"/>
      <c r="M36" s="19"/>
      <c r="N36" s="19"/>
      <c r="O36" s="19"/>
    </row>
    <row r="37" spans="1:18" ht="45" customHeight="1">
      <c r="A37" s="19">
        <v>10</v>
      </c>
      <c r="B37" s="19">
        <v>30000</v>
      </c>
      <c r="C37" s="19" t="s">
        <v>195</v>
      </c>
      <c r="D37" s="19" t="s">
        <v>195</v>
      </c>
      <c r="E37" s="19" t="s">
        <v>196</v>
      </c>
      <c r="F37" s="19" t="s">
        <v>196</v>
      </c>
      <c r="G37" s="19" t="s">
        <v>197</v>
      </c>
      <c r="H37" s="19" t="s">
        <v>188</v>
      </c>
      <c r="I37" s="19"/>
      <c r="J37" s="19"/>
      <c r="K37" s="19"/>
      <c r="L37" s="19"/>
      <c r="M37" s="19"/>
      <c r="N37" s="19"/>
      <c r="O37" s="19"/>
    </row>
    <row r="38" spans="1:18" ht="1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8" ht="1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8" ht="15" customHeight="1">
      <c r="A40" s="19" t="s">
        <v>198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15" customHeight="1">
      <c r="A41" s="19" t="s">
        <v>145</v>
      </c>
      <c r="B41" s="19" t="s">
        <v>147</v>
      </c>
      <c r="C41" s="19" t="s">
        <v>199</v>
      </c>
      <c r="D41" s="19" t="s">
        <v>121</v>
      </c>
      <c r="E41" s="19" t="s">
        <v>122</v>
      </c>
      <c r="F41" s="19" t="s">
        <v>123</v>
      </c>
      <c r="G41" s="19" t="s">
        <v>124</v>
      </c>
      <c r="H41" s="19" t="s">
        <v>125</v>
      </c>
      <c r="I41" s="19" t="s">
        <v>126</v>
      </c>
      <c r="J41" s="19" t="s">
        <v>127</v>
      </c>
      <c r="K41" s="19" t="s">
        <v>128</v>
      </c>
      <c r="L41" s="19" t="s">
        <v>129</v>
      </c>
      <c r="M41" s="19" t="s">
        <v>130</v>
      </c>
      <c r="N41" s="19" t="s">
        <v>131</v>
      </c>
      <c r="O41" s="19" t="s">
        <v>132</v>
      </c>
      <c r="P41" s="19" t="s">
        <v>200</v>
      </c>
      <c r="Q41" s="19"/>
      <c r="R41" s="19"/>
    </row>
    <row r="42" spans="1:18" ht="15" customHeight="1">
      <c r="A42" s="19" t="s">
        <v>85</v>
      </c>
      <c r="B42" s="19" t="s">
        <v>155</v>
      </c>
      <c r="C42" s="19">
        <v>0</v>
      </c>
      <c r="D42" s="19">
        <v>0</v>
      </c>
      <c r="E42" s="19">
        <v>2400</v>
      </c>
      <c r="F42" s="19">
        <v>0</v>
      </c>
      <c r="G42" s="19">
        <v>0</v>
      </c>
      <c r="H42" s="19">
        <v>2400</v>
      </c>
      <c r="I42" s="19">
        <v>0</v>
      </c>
      <c r="J42" s="19">
        <v>2400</v>
      </c>
      <c r="K42" s="19">
        <v>0</v>
      </c>
      <c r="L42" s="19">
        <v>0</v>
      </c>
      <c r="M42" s="19">
        <v>2400</v>
      </c>
      <c r="N42" s="19">
        <v>0</v>
      </c>
      <c r="O42" s="19">
        <v>0</v>
      </c>
      <c r="P42" s="19">
        <f>SUM(D42:O42)</f>
        <v>9600</v>
      </c>
      <c r="Q42" s="19"/>
      <c r="R42" s="19"/>
    </row>
    <row r="43" spans="1:18" ht="15" customHeight="1">
      <c r="A43" s="19" t="s">
        <v>157</v>
      </c>
      <c r="B43" s="19" t="s">
        <v>159</v>
      </c>
      <c r="C43" s="19">
        <v>0</v>
      </c>
      <c r="D43" s="19">
        <v>0</v>
      </c>
      <c r="E43" s="19">
        <v>3000</v>
      </c>
      <c r="F43" s="19">
        <v>0</v>
      </c>
      <c r="G43" s="19">
        <v>0</v>
      </c>
      <c r="H43" s="19">
        <v>3000</v>
      </c>
      <c r="I43" s="19">
        <v>0</v>
      </c>
      <c r="J43" s="19">
        <v>3000</v>
      </c>
      <c r="K43" s="19">
        <v>0</v>
      </c>
      <c r="L43" s="19">
        <v>0</v>
      </c>
      <c r="M43" s="19">
        <v>3000</v>
      </c>
      <c r="N43" s="19">
        <v>0</v>
      </c>
      <c r="O43" s="19">
        <v>0</v>
      </c>
      <c r="P43" s="19">
        <f>SUM(D43:O43)</f>
        <v>12000</v>
      </c>
      <c r="Q43" s="19"/>
      <c r="R43" s="19"/>
    </row>
    <row r="44" spans="1:18" ht="15" customHeight="1">
      <c r="A44" s="19" t="s">
        <v>161</v>
      </c>
      <c r="B44" s="19" t="s">
        <v>163</v>
      </c>
      <c r="C44" s="19">
        <v>0</v>
      </c>
      <c r="D44" s="19">
        <v>0</v>
      </c>
      <c r="E44" s="19">
        <v>4800</v>
      </c>
      <c r="F44" s="19">
        <v>0</v>
      </c>
      <c r="G44" s="19">
        <v>0</v>
      </c>
      <c r="H44" s="19">
        <v>4800</v>
      </c>
      <c r="I44" s="19">
        <v>0</v>
      </c>
      <c r="J44" s="19">
        <v>4800</v>
      </c>
      <c r="K44" s="19">
        <v>0</v>
      </c>
      <c r="L44" s="19">
        <v>0</v>
      </c>
      <c r="M44" s="19">
        <v>4800</v>
      </c>
      <c r="N44" s="19">
        <v>0</v>
      </c>
      <c r="O44" s="19">
        <v>0</v>
      </c>
      <c r="P44" s="19">
        <f>SUM(D44:O44)</f>
        <v>19200</v>
      </c>
      <c r="Q44" s="19"/>
      <c r="R44" s="19"/>
    </row>
    <row r="45" spans="1:18" ht="15" customHeight="1">
      <c r="A45" s="19" t="s">
        <v>165</v>
      </c>
      <c r="B45" s="19" t="s">
        <v>167</v>
      </c>
      <c r="C45" s="19">
        <v>0</v>
      </c>
      <c r="D45" s="19">
        <v>0</v>
      </c>
      <c r="E45" s="19">
        <v>3000</v>
      </c>
      <c r="F45" s="19">
        <v>0</v>
      </c>
      <c r="G45" s="19">
        <v>0</v>
      </c>
      <c r="H45" s="19">
        <v>3000</v>
      </c>
      <c r="I45" s="19">
        <v>0</v>
      </c>
      <c r="J45" s="19">
        <v>3000</v>
      </c>
      <c r="K45" s="19">
        <v>0</v>
      </c>
      <c r="L45" s="19">
        <v>0</v>
      </c>
      <c r="M45" s="19">
        <v>3000</v>
      </c>
      <c r="N45" s="19">
        <v>0</v>
      </c>
      <c r="O45" s="19">
        <v>0</v>
      </c>
      <c r="P45" s="19">
        <f>SUM(D45:O45)</f>
        <v>12000</v>
      </c>
      <c r="Q45" s="19"/>
      <c r="R45" s="19"/>
    </row>
    <row r="46" spans="1:18" ht="15" customHeight="1">
      <c r="A46" s="19" t="s">
        <v>169</v>
      </c>
      <c r="B46" s="19" t="s">
        <v>171</v>
      </c>
      <c r="C46" s="19">
        <v>0</v>
      </c>
      <c r="D46" s="19">
        <v>0</v>
      </c>
      <c r="E46" s="19">
        <v>1800</v>
      </c>
      <c r="F46" s="19">
        <v>0</v>
      </c>
      <c r="G46" s="19">
        <v>0</v>
      </c>
      <c r="H46" s="19">
        <v>1800</v>
      </c>
      <c r="I46" s="19">
        <v>0</v>
      </c>
      <c r="J46" s="19">
        <v>1800</v>
      </c>
      <c r="K46" s="19">
        <v>0</v>
      </c>
      <c r="L46" s="19">
        <v>0</v>
      </c>
      <c r="M46" s="19">
        <v>1800</v>
      </c>
      <c r="N46" s="19">
        <v>0</v>
      </c>
      <c r="O46" s="19">
        <v>0</v>
      </c>
      <c r="P46" s="19">
        <f>SUM(D46:O46)</f>
        <v>7200</v>
      </c>
      <c r="Q46" s="19"/>
      <c r="R46" s="19"/>
    </row>
    <row r="47" spans="1:18" ht="1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1:18" ht="1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1:18" ht="15" customHeight="1">
      <c r="A49" s="19" t="s">
        <v>201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 spans="1:18" ht="30" customHeight="1">
      <c r="A50" s="19" t="s">
        <v>147</v>
      </c>
      <c r="B50" s="19" t="s">
        <v>199</v>
      </c>
      <c r="C50" s="19" t="s">
        <v>121</v>
      </c>
      <c r="D50" s="19" t="s">
        <v>122</v>
      </c>
      <c r="E50" s="19" t="s">
        <v>123</v>
      </c>
      <c r="F50" s="19" t="s">
        <v>124</v>
      </c>
      <c r="G50" s="19" t="s">
        <v>125</v>
      </c>
      <c r="H50" s="19" t="s">
        <v>126</v>
      </c>
      <c r="I50" s="19" t="s">
        <v>127</v>
      </c>
      <c r="J50" s="19" t="s">
        <v>128</v>
      </c>
      <c r="K50" s="19" t="s">
        <v>129</v>
      </c>
      <c r="L50" s="19" t="s">
        <v>130</v>
      </c>
      <c r="M50" s="19" t="s">
        <v>131</v>
      </c>
      <c r="N50" s="19" t="s">
        <v>132</v>
      </c>
      <c r="O50" s="19" t="s">
        <v>200</v>
      </c>
      <c r="P50" s="19" t="s">
        <v>177</v>
      </c>
      <c r="Q50" s="19" t="s">
        <v>202</v>
      </c>
      <c r="R50" s="19"/>
    </row>
    <row r="51" spans="1:18" ht="15" customHeight="1">
      <c r="A51" s="19" t="s">
        <v>155</v>
      </c>
      <c r="B51" s="19">
        <v>0</v>
      </c>
      <c r="C51" s="19">
        <v>0</v>
      </c>
      <c r="D51" s="19">
        <v>2400</v>
      </c>
      <c r="E51" s="19">
        <v>0</v>
      </c>
      <c r="F51" s="19">
        <v>0</v>
      </c>
      <c r="G51" s="19">
        <v>2400</v>
      </c>
      <c r="H51" s="19">
        <v>0</v>
      </c>
      <c r="I51" s="19">
        <v>2400</v>
      </c>
      <c r="J51" s="19">
        <v>0</v>
      </c>
      <c r="K51" s="19">
        <v>0</v>
      </c>
      <c r="L51" s="19">
        <v>2400</v>
      </c>
      <c r="M51" s="19">
        <v>0</v>
      </c>
      <c r="N51" s="19">
        <v>0</v>
      </c>
      <c r="O51" s="19">
        <f>SUM(C51:N51)</f>
        <v>9600</v>
      </c>
      <c r="P51" s="19">
        <v>2541.44</v>
      </c>
      <c r="Q51" s="19">
        <f t="shared" ref="Q51:Q56" si="0">MAX(C51:N51)/P51</f>
        <v>0.94434651221354815</v>
      </c>
      <c r="R51" s="19"/>
    </row>
    <row r="52" spans="1:18" ht="15" customHeight="1">
      <c r="A52" s="19" t="s">
        <v>159</v>
      </c>
      <c r="B52" s="19">
        <v>0</v>
      </c>
      <c r="C52" s="19">
        <v>0</v>
      </c>
      <c r="D52" s="19">
        <v>3000</v>
      </c>
      <c r="E52" s="19">
        <v>0</v>
      </c>
      <c r="F52" s="19">
        <v>0</v>
      </c>
      <c r="G52" s="19">
        <v>3000</v>
      </c>
      <c r="H52" s="19">
        <v>0</v>
      </c>
      <c r="I52" s="19">
        <v>3000</v>
      </c>
      <c r="J52" s="19">
        <v>0</v>
      </c>
      <c r="K52" s="19">
        <v>0</v>
      </c>
      <c r="L52" s="19">
        <v>3000</v>
      </c>
      <c r="M52" s="19">
        <v>0</v>
      </c>
      <c r="N52" s="19">
        <v>0</v>
      </c>
      <c r="O52" s="19">
        <f>SUM(C52:N52)</f>
        <v>12000</v>
      </c>
      <c r="P52" s="19">
        <v>3176.7999999999988</v>
      </c>
      <c r="Q52" s="19">
        <f t="shared" si="0"/>
        <v>0.94434651221354859</v>
      </c>
      <c r="R52" s="19"/>
    </row>
    <row r="53" spans="1:18" ht="15" customHeight="1">
      <c r="A53" s="19" t="s">
        <v>163</v>
      </c>
      <c r="B53" s="19">
        <v>0</v>
      </c>
      <c r="C53" s="19">
        <v>0</v>
      </c>
      <c r="D53" s="19">
        <v>4800</v>
      </c>
      <c r="E53" s="19">
        <v>0</v>
      </c>
      <c r="F53" s="19">
        <v>0</v>
      </c>
      <c r="G53" s="19">
        <v>4800</v>
      </c>
      <c r="H53" s="19">
        <v>0</v>
      </c>
      <c r="I53" s="19">
        <v>4800</v>
      </c>
      <c r="J53" s="19">
        <v>0</v>
      </c>
      <c r="K53" s="19">
        <v>0</v>
      </c>
      <c r="L53" s="19">
        <v>4800</v>
      </c>
      <c r="M53" s="19">
        <v>0</v>
      </c>
      <c r="N53" s="19">
        <v>0</v>
      </c>
      <c r="O53" s="19">
        <f>SUM(C53:N53)</f>
        <v>19200</v>
      </c>
      <c r="P53" s="19">
        <v>4924.0399999999991</v>
      </c>
      <c r="Q53" s="19">
        <f t="shared" si="0"/>
        <v>0.97480930293011447</v>
      </c>
      <c r="R53" s="19"/>
    </row>
    <row r="54" spans="1:18" ht="15" customHeight="1">
      <c r="A54" s="19" t="s">
        <v>167</v>
      </c>
      <c r="B54" s="19">
        <v>0</v>
      </c>
      <c r="C54" s="19">
        <v>0</v>
      </c>
      <c r="D54" s="19">
        <v>3000</v>
      </c>
      <c r="E54" s="19">
        <v>0</v>
      </c>
      <c r="F54" s="19">
        <v>0</v>
      </c>
      <c r="G54" s="19">
        <v>3000</v>
      </c>
      <c r="H54" s="19">
        <v>0</v>
      </c>
      <c r="I54" s="19">
        <v>3000</v>
      </c>
      <c r="J54" s="19">
        <v>0</v>
      </c>
      <c r="K54" s="19">
        <v>0</v>
      </c>
      <c r="L54" s="19">
        <v>3000</v>
      </c>
      <c r="M54" s="19">
        <v>0</v>
      </c>
      <c r="N54" s="19">
        <v>0</v>
      </c>
      <c r="O54" s="19">
        <f>SUM(C54:N54)</f>
        <v>12000</v>
      </c>
      <c r="P54" s="19">
        <v>3176.7999999999988</v>
      </c>
      <c r="Q54" s="19">
        <f t="shared" si="0"/>
        <v>0.94434651221354859</v>
      </c>
      <c r="R54" s="19"/>
    </row>
    <row r="55" spans="1:18" ht="15" customHeight="1">
      <c r="A55" s="19" t="s">
        <v>171</v>
      </c>
      <c r="B55" s="19">
        <v>0</v>
      </c>
      <c r="C55" s="19">
        <v>0</v>
      </c>
      <c r="D55" s="19">
        <v>1800</v>
      </c>
      <c r="E55" s="19">
        <v>0</v>
      </c>
      <c r="F55" s="19">
        <v>0</v>
      </c>
      <c r="G55" s="19">
        <v>1800</v>
      </c>
      <c r="H55" s="19">
        <v>0</v>
      </c>
      <c r="I55" s="19">
        <v>1800</v>
      </c>
      <c r="J55" s="19">
        <v>0</v>
      </c>
      <c r="K55" s="19">
        <v>0</v>
      </c>
      <c r="L55" s="19">
        <v>1800</v>
      </c>
      <c r="M55" s="19">
        <v>0</v>
      </c>
      <c r="N55" s="19">
        <v>0</v>
      </c>
      <c r="O55" s="19">
        <f>SUM(C55:N55)</f>
        <v>7200</v>
      </c>
      <c r="P55" s="19">
        <v>2859.119999999999</v>
      </c>
      <c r="Q55" s="19">
        <f t="shared" si="0"/>
        <v>0.62956434147569906</v>
      </c>
      <c r="R55" s="19"/>
    </row>
    <row r="56" spans="1:18" ht="15" customHeight="1">
      <c r="A56" s="19" t="s">
        <v>133</v>
      </c>
      <c r="B56" s="19">
        <v>0</v>
      </c>
      <c r="C56" s="19">
        <f t="shared" ref="C56:P56" si="1">SUM(C51:C55)</f>
        <v>0</v>
      </c>
      <c r="D56" s="19">
        <f t="shared" si="1"/>
        <v>15000</v>
      </c>
      <c r="E56" s="19">
        <f t="shared" si="1"/>
        <v>0</v>
      </c>
      <c r="F56" s="19">
        <f t="shared" si="1"/>
        <v>0</v>
      </c>
      <c r="G56" s="19">
        <f t="shared" si="1"/>
        <v>15000</v>
      </c>
      <c r="H56" s="19">
        <f t="shared" si="1"/>
        <v>0</v>
      </c>
      <c r="I56" s="19">
        <f t="shared" si="1"/>
        <v>15000</v>
      </c>
      <c r="J56" s="19">
        <f t="shared" si="1"/>
        <v>0</v>
      </c>
      <c r="K56" s="19">
        <f t="shared" si="1"/>
        <v>0</v>
      </c>
      <c r="L56" s="19">
        <f t="shared" si="1"/>
        <v>15000</v>
      </c>
      <c r="M56" s="19">
        <f t="shared" si="1"/>
        <v>0</v>
      </c>
      <c r="N56" s="19">
        <f t="shared" si="1"/>
        <v>0</v>
      </c>
      <c r="O56" s="19">
        <f t="shared" si="1"/>
        <v>60000</v>
      </c>
      <c r="P56" s="19">
        <f t="shared" si="1"/>
        <v>16678.199999999997</v>
      </c>
      <c r="Q56" s="19">
        <f t="shared" si="0"/>
        <v>0.89937763067956988</v>
      </c>
      <c r="R56" s="19"/>
    </row>
    <row r="57" spans="1:18" ht="1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 spans="1:18" ht="1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8" ht="15" customHeight="1">
      <c r="A59" s="19" t="s">
        <v>203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8" ht="30" customHeight="1">
      <c r="A60" s="19" t="s">
        <v>204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1:18" ht="30" customHeight="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8" ht="30" customHeight="1">
      <c r="A62" s="19" t="s">
        <v>206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1:18" ht="30" customHeight="1">
      <c r="A63" s="19" t="s">
        <v>207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57"/>
  <sheetViews>
    <sheetView showGridLines="0" tabSelected="1" workbookViewId="0">
      <pane ySplit="7" topLeftCell="A8" activePane="bottomLeft" state="frozen"/>
      <selection pane="bottomLeft" activeCell="D13" sqref="D13"/>
    </sheetView>
  </sheetViews>
  <sheetFormatPr defaultRowHeight="13.8"/>
  <cols>
    <col min="1" max="1" width="12" style="22" customWidth="1"/>
    <col min="2" max="2" width="24" style="22" customWidth="1"/>
    <col min="3" max="3" width="13" style="22" customWidth="1"/>
    <col min="4" max="4" width="22" style="22" customWidth="1"/>
    <col min="5" max="5" width="10" style="22" customWidth="1"/>
    <col min="6" max="6" width="24" style="22" customWidth="1"/>
    <col min="7" max="7" width="13" style="22" customWidth="1"/>
    <col min="8" max="8" width="24" style="22" customWidth="1"/>
    <col min="9" max="11" width="11" style="22" customWidth="1"/>
    <col min="12" max="12" width="14" style="22" customWidth="1"/>
    <col min="13" max="23" width="4.33203125" style="22" customWidth="1"/>
    <col min="24" max="26" width="4.44140625" style="22" customWidth="1"/>
  </cols>
  <sheetData>
    <row r="1" spans="1:12" ht="31.95" customHeight="1">
      <c r="A1" s="44" t="s">
        <v>208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4" customHeight="1"/>
    <row r="3" spans="1:12" ht="24" customHeight="1">
      <c r="A3" s="28" t="s">
        <v>209</v>
      </c>
      <c r="B3" s="29" t="s">
        <v>210</v>
      </c>
      <c r="C3" s="28" t="s">
        <v>211</v>
      </c>
      <c r="D3" s="29" t="s">
        <v>212</v>
      </c>
      <c r="E3" s="28" t="s">
        <v>213</v>
      </c>
      <c r="F3" s="29" t="s">
        <v>214</v>
      </c>
      <c r="G3" s="28" t="s">
        <v>215</v>
      </c>
      <c r="H3" s="29" t="s">
        <v>216</v>
      </c>
      <c r="I3" s="28" t="s">
        <v>217</v>
      </c>
      <c r="J3" s="28">
        <v>22</v>
      </c>
      <c r="K3" s="28" t="s">
        <v>218</v>
      </c>
      <c r="L3" s="29" t="s">
        <v>219</v>
      </c>
    </row>
    <row r="4" spans="1:12" ht="24" customHeight="1">
      <c r="A4" s="23" t="s">
        <v>220</v>
      </c>
      <c r="B4" s="25">
        <v>30000</v>
      </c>
      <c r="C4" s="23" t="s">
        <v>221</v>
      </c>
      <c r="D4" s="24" t="s">
        <v>222</v>
      </c>
      <c r="E4" s="23" t="s">
        <v>223</v>
      </c>
      <c r="F4" s="24" t="s">
        <v>224</v>
      </c>
      <c r="G4" s="23" t="s">
        <v>225</v>
      </c>
      <c r="H4" s="24" t="s">
        <v>226</v>
      </c>
      <c r="I4" s="23" t="s">
        <v>227</v>
      </c>
      <c r="J4" s="23" t="s">
        <v>228</v>
      </c>
      <c r="K4" s="23"/>
      <c r="L4" s="23"/>
    </row>
    <row r="5" spans="1:12" ht="24" customHeight="1"/>
    <row r="6" spans="1:12" ht="24" customHeight="1"/>
    <row r="7" spans="1:12" ht="24" customHeight="1">
      <c r="A7" s="43" t="s">
        <v>229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ht="24" customHeight="1">
      <c r="A8" s="30" t="s">
        <v>230</v>
      </c>
      <c r="B8" s="30" t="s">
        <v>231</v>
      </c>
      <c r="C8" s="30" t="s">
        <v>232</v>
      </c>
      <c r="D8" s="30" t="s">
        <v>233</v>
      </c>
      <c r="E8" s="30" t="s">
        <v>234</v>
      </c>
      <c r="F8" s="30" t="s">
        <v>235</v>
      </c>
      <c r="G8" s="30" t="s">
        <v>236</v>
      </c>
      <c r="H8" s="30" t="s">
        <v>237</v>
      </c>
      <c r="I8" s="30" t="s">
        <v>238</v>
      </c>
      <c r="J8" s="30" t="s">
        <v>239</v>
      </c>
      <c r="K8" s="30" t="s">
        <v>199</v>
      </c>
      <c r="L8" s="30" t="s">
        <v>240</v>
      </c>
    </row>
    <row r="9" spans="1:12" ht="24" customHeight="1">
      <c r="A9" s="23" t="s">
        <v>241</v>
      </c>
      <c r="B9" s="24" t="s">
        <v>242</v>
      </c>
      <c r="C9" s="25">
        <v>9812</v>
      </c>
      <c r="D9" s="25">
        <v>0</v>
      </c>
      <c r="E9" s="25">
        <v>8</v>
      </c>
      <c r="F9" s="25" t="e">
        <f ca="1">_xludf.RANK.EQ(E9,$E$9:$E$11,1)+COUNTIF($E$9:E9,E9)-1</f>
        <v>#NAME?</v>
      </c>
      <c r="G9" s="26">
        <f>$D$22</f>
        <v>1398.875</v>
      </c>
      <c r="H9" s="26">
        <f>C9/G9</f>
        <v>7.0142078455902066</v>
      </c>
      <c r="I9" s="26" t="e">
        <f ca="1">IF(F9=1,$D$4,INDEX($J$9:$J$11,MATCH(F9-1,$F$9:$F$11,0)))</f>
        <v>#NAME?</v>
      </c>
      <c r="J9" s="26" t="e">
        <f ca="1">I9+H9</f>
        <v>#NAME?</v>
      </c>
      <c r="K9" s="26" t="e">
        <f ca="1">MAX(0,J9-E9)</f>
        <v>#NAME?</v>
      </c>
      <c r="L9" s="23" t="e">
        <f ca="1">IF(K9=0,"按期","需调整")</f>
        <v>#NAME?</v>
      </c>
    </row>
    <row r="10" spans="1:12" ht="24" customHeight="1">
      <c r="A10" s="23" t="s">
        <v>243</v>
      </c>
      <c r="B10" s="24" t="s">
        <v>244</v>
      </c>
      <c r="C10" s="25">
        <v>10000</v>
      </c>
      <c r="D10" s="25">
        <v>0</v>
      </c>
      <c r="E10" s="25">
        <v>16</v>
      </c>
      <c r="F10" s="25" t="e">
        <f ca="1">_xludf.RANK.EQ(E10,$E$9:$E$11,1)+COUNTIF($E$9:E10,E10)-1</f>
        <v>#NAME?</v>
      </c>
      <c r="G10" s="26">
        <f>$D$22</f>
        <v>1398.875</v>
      </c>
      <c r="H10" s="26">
        <f>C10/G10</f>
        <v>7.1486015548208384</v>
      </c>
      <c r="I10" s="26" t="e">
        <f ca="1">IF(F10=1,$D$4,INDEX($J$9:$J$11,MATCH(F10-1,$F$9:$F$11,0)))</f>
        <v>#NAME?</v>
      </c>
      <c r="J10" s="26" t="e">
        <f ca="1">I10+H10</f>
        <v>#NAME?</v>
      </c>
      <c r="K10" s="26" t="e">
        <f ca="1">MAX(0,J10-E10)</f>
        <v>#NAME?</v>
      </c>
      <c r="L10" s="23" t="e">
        <f ca="1">IF(K10=0,"按期","需调整")</f>
        <v>#NAME?</v>
      </c>
    </row>
    <row r="11" spans="1:12" ht="24" customHeight="1">
      <c r="A11" s="23" t="s">
        <v>245</v>
      </c>
      <c r="B11" s="24" t="s">
        <v>246</v>
      </c>
      <c r="C11" s="25">
        <v>10188</v>
      </c>
      <c r="D11" s="25">
        <v>0</v>
      </c>
      <c r="E11" s="25">
        <v>22</v>
      </c>
      <c r="F11" s="25" t="e">
        <f ca="1">_xludf.RANK.EQ(E11,$E$9:$E$11,1)+COUNTIF($E$9:E11,E11)-1</f>
        <v>#NAME?</v>
      </c>
      <c r="G11" s="26">
        <f>$D$22</f>
        <v>1398.875</v>
      </c>
      <c r="H11" s="26">
        <f>C11/G11</f>
        <v>7.2829952640514701</v>
      </c>
      <c r="I11" s="26" t="e">
        <f ca="1">IF(F11=1,$D$4,INDEX($J$9:$J$11,MATCH(F11-1,$F$9:$F$11,0)))</f>
        <v>#NAME?</v>
      </c>
      <c r="J11" s="26" t="e">
        <f ca="1">I11+H11</f>
        <v>#NAME?</v>
      </c>
      <c r="K11" s="26" t="e">
        <f ca="1">MAX(0,J11-E11)</f>
        <v>#NAME?</v>
      </c>
      <c r="L11" s="23" t="e">
        <f ca="1">IF(K11=0,"按期","需调整")</f>
        <v>#NAME?</v>
      </c>
    </row>
    <row r="12" spans="1:12" ht="24" customHeight="1"/>
    <row r="13" spans="1:12" ht="24" customHeight="1"/>
    <row r="14" spans="1:12" ht="24" customHeight="1">
      <c r="A14" s="43" t="s">
        <v>247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2" ht="24" customHeight="1">
      <c r="A15" s="30" t="s">
        <v>147</v>
      </c>
      <c r="B15" s="30" t="s">
        <v>148</v>
      </c>
      <c r="C15" s="30" t="s">
        <v>248</v>
      </c>
      <c r="D15" s="30" t="s">
        <v>177</v>
      </c>
      <c r="E15" s="30" t="s">
        <v>249</v>
      </c>
      <c r="F15" s="30" t="s">
        <v>250</v>
      </c>
      <c r="G15" s="30" t="s">
        <v>251</v>
      </c>
      <c r="H15" s="30" t="s">
        <v>180</v>
      </c>
      <c r="I15" s="30" t="s">
        <v>252</v>
      </c>
      <c r="J15" s="30"/>
      <c r="K15" s="30"/>
      <c r="L15" s="30"/>
    </row>
    <row r="16" spans="1:12" ht="24" customHeight="1">
      <c r="A16" s="23" t="s">
        <v>155</v>
      </c>
      <c r="B16" s="24" t="s">
        <v>156</v>
      </c>
      <c r="C16" s="26">
        <v>0.08</v>
      </c>
      <c r="D16" s="26">
        <v>2541.44</v>
      </c>
      <c r="E16" s="26">
        <f>D16/C16</f>
        <v>31768</v>
      </c>
      <c r="F16" s="26">
        <f>E16/$J$3</f>
        <v>1444</v>
      </c>
      <c r="G16" s="26">
        <f>$B$4*C16</f>
        <v>2400</v>
      </c>
      <c r="H16" s="27">
        <f>G16/D16</f>
        <v>0.94434651221354815</v>
      </c>
      <c r="I16" s="23" t="str">
        <f>IF(H16=MAX($H$16:$H$20),"瓶颈","")</f>
        <v/>
      </c>
      <c r="J16" s="23"/>
      <c r="K16" s="23"/>
      <c r="L16" s="23"/>
    </row>
    <row r="17" spans="1:12" ht="24" customHeight="1">
      <c r="A17" s="23" t="s">
        <v>159</v>
      </c>
      <c r="B17" s="24" t="s">
        <v>160</v>
      </c>
      <c r="C17" s="26">
        <v>0.1</v>
      </c>
      <c r="D17" s="26">
        <v>3176.8</v>
      </c>
      <c r="E17" s="26">
        <f>D17/C17</f>
        <v>31768</v>
      </c>
      <c r="F17" s="26">
        <f>E17/$J$3</f>
        <v>1444</v>
      </c>
      <c r="G17" s="26">
        <f>$B$4*C17</f>
        <v>3000</v>
      </c>
      <c r="H17" s="27">
        <f>G17/D17</f>
        <v>0.94434651221354815</v>
      </c>
      <c r="I17" s="23" t="str">
        <f>IF(H17=MAX($H$16:$H$20),"瓶颈","")</f>
        <v/>
      </c>
      <c r="J17" s="23"/>
      <c r="K17" s="23"/>
      <c r="L17" s="23"/>
    </row>
    <row r="18" spans="1:12" ht="24" customHeight="1">
      <c r="A18" s="31" t="s">
        <v>163</v>
      </c>
      <c r="B18" s="32" t="s">
        <v>164</v>
      </c>
      <c r="C18" s="33">
        <v>0.16</v>
      </c>
      <c r="D18" s="33">
        <v>4924.04</v>
      </c>
      <c r="E18" s="33">
        <f>D18/C18</f>
        <v>30775.25</v>
      </c>
      <c r="F18" s="33">
        <f>E18/$J$3</f>
        <v>1398.875</v>
      </c>
      <c r="G18" s="33">
        <f>$B$4*C18</f>
        <v>4800</v>
      </c>
      <c r="H18" s="34">
        <f>G18/D18</f>
        <v>0.97480930293011425</v>
      </c>
      <c r="I18" s="31" t="str">
        <f>IF(H18=MAX($H$16:$H$20),"瓶颈","")</f>
        <v>瓶颈</v>
      </c>
      <c r="J18" s="23"/>
      <c r="K18" s="23"/>
      <c r="L18" s="23"/>
    </row>
    <row r="19" spans="1:12" ht="24" customHeight="1">
      <c r="A19" s="23" t="s">
        <v>167</v>
      </c>
      <c r="B19" s="24" t="s">
        <v>168</v>
      </c>
      <c r="C19" s="26">
        <v>0.1</v>
      </c>
      <c r="D19" s="26">
        <v>3176.8</v>
      </c>
      <c r="E19" s="26">
        <f>D19/C19</f>
        <v>31768</v>
      </c>
      <c r="F19" s="26">
        <f>E19/$J$3</f>
        <v>1444</v>
      </c>
      <c r="G19" s="26">
        <f>$B$4*C19</f>
        <v>3000</v>
      </c>
      <c r="H19" s="27">
        <f>G19/D19</f>
        <v>0.94434651221354815</v>
      </c>
      <c r="I19" s="23" t="str">
        <f>IF(H19=MAX($H$16:$H$20),"瓶颈","")</f>
        <v/>
      </c>
      <c r="J19" s="23"/>
      <c r="K19" s="23"/>
      <c r="L19" s="23"/>
    </row>
    <row r="20" spans="1:12" ht="24" customHeight="1">
      <c r="A20" s="23" t="s">
        <v>171</v>
      </c>
      <c r="B20" s="24" t="s">
        <v>172</v>
      </c>
      <c r="C20" s="26">
        <v>0.06</v>
      </c>
      <c r="D20" s="26">
        <v>2859.12</v>
      </c>
      <c r="E20" s="26">
        <f>D20/C20</f>
        <v>47652</v>
      </c>
      <c r="F20" s="26">
        <f>E20/$J$3</f>
        <v>2166</v>
      </c>
      <c r="G20" s="26">
        <f>$B$4*C20</f>
        <v>1800</v>
      </c>
      <c r="H20" s="27">
        <f>G20/D20</f>
        <v>0.62956434147569884</v>
      </c>
      <c r="I20" s="23" t="str">
        <f>IF(H20=MAX($H$16:$H$20),"瓶颈","")</f>
        <v/>
      </c>
      <c r="J20" s="23"/>
      <c r="K20" s="23"/>
      <c r="L20" s="23"/>
    </row>
    <row r="21" spans="1:12" ht="24" customHeight="1"/>
    <row r="22" spans="1:12" ht="24" customHeight="1">
      <c r="A22" s="35" t="s">
        <v>253</v>
      </c>
      <c r="B22" s="35" t="str">
        <f>INDEX(A16:A20,MATCH(MAX(H16:H20),H16:H20,0))</f>
        <v>WC-30</v>
      </c>
      <c r="C22" s="35" t="s">
        <v>254</v>
      </c>
      <c r="D22" s="36">
        <f>INDEX(F16:F20,MATCH(MAX(H16:H20),H16:H20,0))</f>
        <v>1398.875</v>
      </c>
      <c r="E22" s="35" t="s">
        <v>202</v>
      </c>
      <c r="F22" s="37">
        <f>MAX(H16:H20)</f>
        <v>0.97480930293011425</v>
      </c>
      <c r="G22" s="35" t="s">
        <v>255</v>
      </c>
      <c r="H22" s="36" t="e">
        <f ca="1">22-MAX(J9:J11)</f>
        <v>#NAME?</v>
      </c>
      <c r="I22" s="35" t="s">
        <v>256</v>
      </c>
      <c r="J22" s="36" t="e">
        <f ca="1">MAX(0,1-H22)</f>
        <v>#NAME?</v>
      </c>
      <c r="K22" s="35"/>
      <c r="L22" s="35"/>
    </row>
    <row r="23" spans="1:12" ht="24" customHeight="1"/>
    <row r="24" spans="1:12" ht="24" customHeight="1"/>
    <row r="25" spans="1:12" ht="24" customHeight="1">
      <c r="A25" s="43" t="s">
        <v>257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2" ht="24" customHeight="1">
      <c r="A26" s="30" t="s">
        <v>258</v>
      </c>
      <c r="B26" s="30" t="s">
        <v>230</v>
      </c>
      <c r="C26" s="30" t="s">
        <v>231</v>
      </c>
      <c r="D26" s="30" t="s">
        <v>232</v>
      </c>
      <c r="E26" s="30" t="s">
        <v>234</v>
      </c>
      <c r="F26" s="30" t="s">
        <v>238</v>
      </c>
      <c r="G26" s="30" t="s">
        <v>239</v>
      </c>
      <c r="H26" s="30" t="s">
        <v>237</v>
      </c>
      <c r="I26" s="30" t="s">
        <v>199</v>
      </c>
      <c r="J26" s="30" t="s">
        <v>259</v>
      </c>
      <c r="K26" s="30"/>
      <c r="L26" s="30"/>
    </row>
    <row r="27" spans="1:12" ht="24" customHeight="1">
      <c r="A27" s="23">
        <v>1</v>
      </c>
      <c r="B27" s="23" t="e">
        <f ca="1">INDEX($A$9:$A$11,MATCH(A27,$F$9:$F$11,0))</f>
        <v>#N/A</v>
      </c>
      <c r="C27" s="24" t="e">
        <f ca="1">INDEX($B$9:$B$11,MATCH(A27,$F$9:$F$11,0))</f>
        <v>#N/A</v>
      </c>
      <c r="D27" s="23" t="e">
        <f ca="1">INDEX($C$9:$C$11,MATCH(A27,$F$9:$F$11,0))</f>
        <v>#N/A</v>
      </c>
      <c r="E27" s="23" t="e">
        <f ca="1">INDEX($E$9:$E$11,MATCH(A27,$F$9:$F$11,0))</f>
        <v>#N/A</v>
      </c>
      <c r="F27" s="26" t="e">
        <f ca="1">INDEX($I$9:$I$11,MATCH(A27,$F$9:$F$11,0))</f>
        <v>#N/A</v>
      </c>
      <c r="G27" s="26" t="e">
        <f ca="1">INDEX($J$9:$J$11,MATCH(A27,$F$9:$F$11,0))</f>
        <v>#N/A</v>
      </c>
      <c r="H27" s="26" t="e">
        <f ca="1">INDEX($H$9:$H$11,MATCH(A27,$F$9:$F$11,0))</f>
        <v>#N/A</v>
      </c>
      <c r="I27" s="26" t="e">
        <f ca="1">INDEX($K$9:$K$11,MATCH(A27,$F$9:$F$11,0))</f>
        <v>#N/A</v>
      </c>
      <c r="J27" s="23" t="e">
        <f ca="1">IF(I27=0,"按期完成","需加班/调整")</f>
        <v>#N/A</v>
      </c>
      <c r="K27" s="23"/>
      <c r="L27" s="23"/>
    </row>
    <row r="28" spans="1:12" ht="24" customHeight="1">
      <c r="A28" s="23">
        <v>2</v>
      </c>
      <c r="B28" s="23" t="e">
        <f ca="1">INDEX($A$9:$A$11,MATCH(A28,$F$9:$F$11,0))</f>
        <v>#N/A</v>
      </c>
      <c r="C28" s="24" t="e">
        <f ca="1">INDEX($B$9:$B$11,MATCH(A28,$F$9:$F$11,0))</f>
        <v>#N/A</v>
      </c>
      <c r="D28" s="23" t="e">
        <f ca="1">INDEX($C$9:$C$11,MATCH(A28,$F$9:$F$11,0))</f>
        <v>#N/A</v>
      </c>
      <c r="E28" s="23" t="e">
        <f ca="1">INDEX($E$9:$E$11,MATCH(A28,$F$9:$F$11,0))</f>
        <v>#N/A</v>
      </c>
      <c r="F28" s="26" t="e">
        <f ca="1">INDEX($I$9:$I$11,MATCH(A28,$F$9:$F$11,0))</f>
        <v>#N/A</v>
      </c>
      <c r="G28" s="26" t="e">
        <f ca="1">INDEX($J$9:$J$11,MATCH(A28,$F$9:$F$11,0))</f>
        <v>#N/A</v>
      </c>
      <c r="H28" s="26" t="e">
        <f ca="1">INDEX($H$9:$H$11,MATCH(A28,$F$9:$F$11,0))</f>
        <v>#N/A</v>
      </c>
      <c r="I28" s="26" t="e">
        <f ca="1">INDEX($K$9:$K$11,MATCH(A28,$F$9:$F$11,0))</f>
        <v>#N/A</v>
      </c>
      <c r="J28" s="23" t="e">
        <f ca="1">IF(I28=0,"按期完成","需加班/调整")</f>
        <v>#N/A</v>
      </c>
      <c r="K28" s="23"/>
      <c r="L28" s="23"/>
    </row>
    <row r="29" spans="1:12" ht="24" customHeight="1">
      <c r="A29" s="23">
        <v>3</v>
      </c>
      <c r="B29" s="23" t="e">
        <f ca="1">INDEX($A$9:$A$11,MATCH(A29,$F$9:$F$11,0))</f>
        <v>#N/A</v>
      </c>
      <c r="C29" s="24" t="e">
        <f ca="1">INDEX($B$9:$B$11,MATCH(A29,$F$9:$F$11,0))</f>
        <v>#N/A</v>
      </c>
      <c r="D29" s="23" t="e">
        <f ca="1">INDEX($C$9:$C$11,MATCH(A29,$F$9:$F$11,0))</f>
        <v>#N/A</v>
      </c>
      <c r="E29" s="23" t="e">
        <f ca="1">INDEX($E$9:$E$11,MATCH(A29,$F$9:$F$11,0))</f>
        <v>#N/A</v>
      </c>
      <c r="F29" s="26" t="e">
        <f ca="1">INDEX($I$9:$I$11,MATCH(A29,$F$9:$F$11,0))</f>
        <v>#N/A</v>
      </c>
      <c r="G29" s="26" t="e">
        <f ca="1">INDEX($J$9:$J$11,MATCH(A29,$F$9:$F$11,0))</f>
        <v>#N/A</v>
      </c>
      <c r="H29" s="26" t="e">
        <f ca="1">INDEX($H$9:$H$11,MATCH(A29,$F$9:$F$11,0))</f>
        <v>#N/A</v>
      </c>
      <c r="I29" s="26" t="e">
        <f ca="1">INDEX($K$9:$K$11,MATCH(A29,$F$9:$F$11,0))</f>
        <v>#N/A</v>
      </c>
      <c r="J29" s="23" t="e">
        <f ca="1">IF(I29=0,"按期完成","需加班/调整")</f>
        <v>#N/A</v>
      </c>
      <c r="K29" s="23"/>
      <c r="L29" s="23"/>
    </row>
    <row r="30" spans="1:12" ht="24" customHeight="1"/>
    <row r="31" spans="1:12" ht="24" customHeight="1"/>
    <row r="32" spans="1:12" ht="24" customHeight="1"/>
    <row r="33" spans="1:23" ht="24" customHeight="1">
      <c r="A33" s="43" t="s">
        <v>260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24" customHeight="1">
      <c r="A34" s="30" t="s">
        <v>261</v>
      </c>
      <c r="B34" s="30">
        <v>1</v>
      </c>
      <c r="C34" s="30">
        <v>2</v>
      </c>
      <c r="D34" s="30">
        <v>3</v>
      </c>
      <c r="E34" s="30">
        <v>4</v>
      </c>
      <c r="F34" s="30">
        <v>5</v>
      </c>
      <c r="G34" s="30">
        <v>6</v>
      </c>
      <c r="H34" s="30">
        <v>7</v>
      </c>
      <c r="I34" s="30">
        <v>8</v>
      </c>
      <c r="J34" s="30">
        <v>9</v>
      </c>
      <c r="K34" s="30">
        <v>10</v>
      </c>
      <c r="L34" s="30">
        <v>11</v>
      </c>
      <c r="M34" s="30">
        <v>12</v>
      </c>
      <c r="N34" s="30">
        <v>13</v>
      </c>
      <c r="O34" s="30">
        <v>14</v>
      </c>
      <c r="P34" s="30">
        <v>15</v>
      </c>
      <c r="Q34" s="30">
        <v>16</v>
      </c>
      <c r="R34" s="30">
        <v>17</v>
      </c>
      <c r="S34" s="30">
        <v>18</v>
      </c>
      <c r="T34" s="30">
        <v>19</v>
      </c>
      <c r="U34" s="30">
        <v>20</v>
      </c>
      <c r="V34" s="30">
        <v>21</v>
      </c>
      <c r="W34" s="30">
        <v>22</v>
      </c>
    </row>
    <row r="35" spans="1:23" ht="19.95" customHeight="1">
      <c r="A35" s="38" t="str">
        <f>A9</f>
        <v>J1</v>
      </c>
      <c r="B35" s="39"/>
      <c r="C35" s="39"/>
      <c r="D35" s="39"/>
      <c r="E35" s="39"/>
      <c r="F35" s="39"/>
      <c r="G35" s="39"/>
      <c r="H35" s="39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</row>
    <row r="36" spans="1:23" ht="19.95" customHeight="1">
      <c r="A36" s="38" t="str">
        <f>A10</f>
        <v>J2</v>
      </c>
      <c r="B36" s="38"/>
      <c r="C36" s="38"/>
      <c r="D36" s="38"/>
      <c r="E36" s="38"/>
      <c r="F36" s="38"/>
      <c r="G36" s="38"/>
      <c r="H36" s="38"/>
      <c r="I36" s="39"/>
      <c r="J36" s="39"/>
      <c r="K36" s="39"/>
      <c r="L36" s="39"/>
      <c r="M36" s="39"/>
      <c r="N36" s="39"/>
      <c r="O36" s="39"/>
      <c r="P36" s="38"/>
      <c r="Q36" s="38"/>
      <c r="R36" s="38"/>
      <c r="S36" s="38"/>
      <c r="T36" s="38"/>
      <c r="U36" s="38"/>
      <c r="V36" s="38"/>
      <c r="W36" s="38"/>
    </row>
    <row r="37" spans="1:23" ht="19.95" customHeight="1">
      <c r="A37" s="38" t="str">
        <f>A11</f>
        <v>J3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/>
      <c r="Q37" s="39"/>
      <c r="R37" s="39"/>
      <c r="S37" s="39"/>
      <c r="T37" s="39"/>
      <c r="U37" s="39"/>
      <c r="V37" s="39"/>
      <c r="W37" s="38"/>
    </row>
    <row r="38" spans="1:23" ht="24" customHeight="1"/>
    <row r="39" spans="1:23" ht="24" customHeight="1"/>
    <row r="40" spans="1:23" ht="24" customHeight="1">
      <c r="A40"/>
      <c r="B40"/>
      <c r="C40"/>
      <c r="D40"/>
      <c r="E40"/>
      <c r="F40"/>
      <c r="G40"/>
      <c r="H40"/>
      <c r="I40"/>
      <c r="J40"/>
      <c r="K40"/>
      <c r="L40"/>
    </row>
    <row r="41" spans="1:23" ht="24" customHeight="1">
      <c r="A41"/>
      <c r="B41"/>
      <c r="C41"/>
      <c r="D41"/>
      <c r="E41"/>
      <c r="F41"/>
      <c r="G41"/>
      <c r="H41"/>
      <c r="I41"/>
      <c r="J41"/>
      <c r="K41"/>
      <c r="L41"/>
    </row>
    <row r="42" spans="1:23" ht="24" customHeight="1">
      <c r="A42"/>
      <c r="B42"/>
      <c r="C42"/>
      <c r="D42"/>
      <c r="E42"/>
      <c r="F42"/>
      <c r="G42"/>
      <c r="H42"/>
      <c r="I42"/>
      <c r="J42"/>
      <c r="K42"/>
      <c r="L42"/>
    </row>
    <row r="43" spans="1:23" ht="24" customHeight="1">
      <c r="A43"/>
      <c r="B43"/>
      <c r="C43"/>
      <c r="D43"/>
      <c r="E43"/>
      <c r="F43"/>
      <c r="G43"/>
      <c r="H43"/>
      <c r="I43"/>
      <c r="J43"/>
      <c r="K43"/>
      <c r="L43"/>
    </row>
    <row r="44" spans="1:23" ht="24" customHeight="1">
      <c r="A44"/>
      <c r="B44"/>
      <c r="C44"/>
      <c r="D44"/>
      <c r="E44"/>
      <c r="F44"/>
      <c r="G44"/>
      <c r="H44"/>
      <c r="I44"/>
      <c r="J44"/>
      <c r="K44"/>
      <c r="L44"/>
    </row>
    <row r="45" spans="1:23" ht="24" customHeight="1">
      <c r="A45"/>
      <c r="B45"/>
      <c r="C45"/>
      <c r="D45"/>
      <c r="E45"/>
      <c r="F45"/>
      <c r="G45"/>
      <c r="H45"/>
      <c r="I45"/>
      <c r="J45"/>
      <c r="K45"/>
      <c r="L45"/>
    </row>
    <row r="46" spans="1:23" ht="24" customHeight="1"/>
    <row r="47" spans="1:23" ht="24" customHeight="1"/>
    <row r="48" spans="1:23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</sheetData>
  <mergeCells count="5">
    <mergeCell ref="A33:W33"/>
    <mergeCell ref="A7:L7"/>
    <mergeCell ref="A25:L25"/>
    <mergeCell ref="A1:L1"/>
    <mergeCell ref="A14:L14"/>
  </mergeCells>
  <phoneticPr fontId="5" type="noConversion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物料需求计划</vt:lpstr>
      <vt:lpstr>能力需求计划</vt:lpstr>
      <vt:lpstr>典型场景调度</vt:lpstr>
      <vt:lpstr>典型场景调度!Print_Area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2026-05-30T14:31:11Z</dcterms:modified>
</cp:coreProperties>
</file>