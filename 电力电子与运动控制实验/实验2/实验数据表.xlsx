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2971\Desktop\新建文件夹\"/>
    </mc:Choice>
  </mc:AlternateContent>
  <xr:revisionPtr revIDLastSave="0" documentId="13_ncr:1_{05C377D7-DFCB-4537-A2B8-A7D15846E88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数据处理" sheetId="2" r:id="rId2"/>
  </sheets>
  <definedNames>
    <definedName name="_xlchart.v1.0" hidden="1">数据处理!$D$2:$D$21</definedName>
    <definedName name="_xlchart.v1.1" hidden="1">数据处理!$I$2:$I$22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2" l="1"/>
  <c r="I3" i="2"/>
  <c r="I4" i="2"/>
  <c r="I5" i="2"/>
  <c r="I6" i="2"/>
  <c r="I7" i="2"/>
  <c r="I8" i="2"/>
  <c r="I9" i="2"/>
  <c r="I10" i="2"/>
  <c r="I12" i="2"/>
  <c r="I13" i="2"/>
  <c r="I14" i="2"/>
  <c r="I15" i="2"/>
  <c r="I16" i="2"/>
  <c r="I17" i="2"/>
  <c r="I18" i="2"/>
  <c r="I19" i="2"/>
  <c r="I20" i="2"/>
  <c r="I21" i="2"/>
  <c r="I2" i="2"/>
  <c r="E3" i="2"/>
  <c r="G3" i="2" s="1"/>
  <c r="E2" i="2"/>
  <c r="G2" i="2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B2" i="2"/>
  <c r="H21" i="2"/>
  <c r="E21" i="2"/>
  <c r="B21" i="2"/>
  <c r="H20" i="2"/>
  <c r="B20" i="2"/>
  <c r="E20" i="2" s="1"/>
  <c r="H19" i="2"/>
  <c r="E19" i="2"/>
  <c r="B19" i="2"/>
  <c r="H18" i="2"/>
  <c r="B18" i="2"/>
  <c r="E18" i="2" s="1"/>
  <c r="H17" i="2"/>
  <c r="E17" i="2"/>
  <c r="B17" i="2"/>
  <c r="H16" i="2"/>
  <c r="B16" i="2"/>
  <c r="E16" i="2" s="1"/>
  <c r="H15" i="2"/>
  <c r="B15" i="2"/>
  <c r="E15" i="2" s="1"/>
  <c r="H14" i="2"/>
  <c r="B14" i="2"/>
  <c r="E14" i="2" s="1"/>
  <c r="H13" i="2"/>
  <c r="B13" i="2"/>
  <c r="E13" i="2" s="1"/>
  <c r="H12" i="2"/>
  <c r="B12" i="2"/>
  <c r="E12" i="2" s="1"/>
  <c r="H11" i="2"/>
  <c r="B11" i="2"/>
  <c r="E11" i="2" s="1"/>
  <c r="H10" i="2"/>
  <c r="B10" i="2"/>
  <c r="E10" i="2" s="1"/>
  <c r="H9" i="2"/>
  <c r="E9" i="2"/>
  <c r="B9" i="2"/>
  <c r="H8" i="2"/>
  <c r="E8" i="2"/>
  <c r="B8" i="2"/>
  <c r="H7" i="2"/>
  <c r="B7" i="2"/>
  <c r="E7" i="2" s="1"/>
  <c r="H6" i="2"/>
  <c r="B6" i="2"/>
  <c r="E6" i="2" s="1"/>
  <c r="H5" i="2"/>
  <c r="B5" i="2"/>
  <c r="E5" i="2" s="1"/>
  <c r="H4" i="2"/>
  <c r="B4" i="2"/>
  <c r="E4" i="2" s="1"/>
  <c r="H3" i="2"/>
  <c r="B3" i="2"/>
  <c r="H2" i="2"/>
  <c r="F4" i="2" l="1"/>
  <c r="F12" i="2"/>
  <c r="F6" i="2"/>
  <c r="F16" i="2"/>
  <c r="F11" i="2"/>
  <c r="F20" i="2"/>
  <c r="F2" i="2"/>
  <c r="F10" i="2"/>
  <c r="F14" i="2"/>
  <c r="F18" i="2"/>
  <c r="F5" i="2"/>
  <c r="F13" i="2"/>
  <c r="F7" i="2"/>
  <c r="F15" i="2"/>
  <c r="F9" i="2"/>
  <c r="F19" i="2"/>
  <c r="F3" i="2"/>
  <c r="F17" i="2"/>
  <c r="F8" i="2"/>
  <c r="F21" i="2"/>
</calcChain>
</file>

<file path=xl/sharedStrings.xml><?xml version="1.0" encoding="utf-8"?>
<sst xmlns="http://schemas.openxmlformats.org/spreadsheetml/2006/main" count="14" uniqueCount="14">
  <si>
    <t>U2周期T(ms)</t>
  </si>
  <si>
    <t>U2给定值（V）</t>
  </si>
  <si>
    <t>触发时刻（ms）</t>
  </si>
  <si>
    <t>U2实测值（~V）</t>
  </si>
  <si>
    <t>99..9</t>
  </si>
  <si>
    <t>负载两端电压Ud(-V)测量值</t>
  </si>
  <si>
    <t>触发时刻t/ms</t>
  </si>
  <si>
    <t>触发角α/°</t>
  </si>
  <si>
    <t>U2实测/V</t>
  </si>
  <si>
    <t>Ud实测/V</t>
  </si>
  <si>
    <t>Ud理论/V</t>
  </si>
  <si>
    <t>误差/V</t>
  </si>
  <si>
    <t>相对误差/%</t>
  </si>
  <si>
    <t>Ud/U2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</si>
</sst>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_ "/>
    <numFmt numFmtId="178" formatCode="0.0"/>
    <numFmt numFmtId="179" formatCode="\+0.00;\-0.00;0.00"/>
    <numFmt numFmtId="180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Ud-</a:t>
            </a:r>
            <a:r>
              <a:rPr lang="el-GR"/>
              <a:t>α</a:t>
            </a:r>
            <a:r>
              <a:rPr lang="zh-CN"/>
              <a:t>理论值与实测值对比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Ud实测值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数据处理!$B$2:$B$21</c:f>
              <c:numCache>
                <c:formatCode>0.0</c:formatCode>
                <c:ptCount val="20"/>
                <c:pt idx="0">
                  <c:v>14.4</c:v>
                </c:pt>
                <c:pt idx="1">
                  <c:v>18</c:v>
                </c:pt>
                <c:pt idx="2">
                  <c:v>27</c:v>
                </c:pt>
                <c:pt idx="3">
                  <c:v>36</c:v>
                </c:pt>
                <c:pt idx="4">
                  <c:v>45</c:v>
                </c:pt>
                <c:pt idx="5">
                  <c:v>54</c:v>
                </c:pt>
                <c:pt idx="6">
                  <c:v>63</c:v>
                </c:pt>
                <c:pt idx="7">
                  <c:v>72</c:v>
                </c:pt>
                <c:pt idx="8">
                  <c:v>81</c:v>
                </c:pt>
                <c:pt idx="9">
                  <c:v>90</c:v>
                </c:pt>
                <c:pt idx="10">
                  <c:v>99</c:v>
                </c:pt>
                <c:pt idx="11">
                  <c:v>108</c:v>
                </c:pt>
                <c:pt idx="12">
                  <c:v>117</c:v>
                </c:pt>
                <c:pt idx="13">
                  <c:v>126</c:v>
                </c:pt>
                <c:pt idx="14">
                  <c:v>135</c:v>
                </c:pt>
                <c:pt idx="15">
                  <c:v>144</c:v>
                </c:pt>
                <c:pt idx="16">
                  <c:v>153</c:v>
                </c:pt>
                <c:pt idx="17">
                  <c:v>162</c:v>
                </c:pt>
                <c:pt idx="18">
                  <c:v>171</c:v>
                </c:pt>
                <c:pt idx="19">
                  <c:v>178.2</c:v>
                </c:pt>
              </c:numCache>
            </c:numRef>
          </c:xVal>
          <c:yVal>
            <c:numRef>
              <c:f>数据处理!$D$2:$D$21</c:f>
              <c:numCache>
                <c:formatCode>0.00</c:formatCode>
                <c:ptCount val="20"/>
                <c:pt idx="0">
                  <c:v>42.57</c:v>
                </c:pt>
                <c:pt idx="1">
                  <c:v>42.34</c:v>
                </c:pt>
                <c:pt idx="2">
                  <c:v>41.15</c:v>
                </c:pt>
                <c:pt idx="3">
                  <c:v>39.729999999999997</c:v>
                </c:pt>
                <c:pt idx="4">
                  <c:v>37.700000000000003</c:v>
                </c:pt>
                <c:pt idx="5">
                  <c:v>35.24</c:v>
                </c:pt>
                <c:pt idx="6">
                  <c:v>32.33</c:v>
                </c:pt>
                <c:pt idx="7">
                  <c:v>28.96</c:v>
                </c:pt>
                <c:pt idx="8">
                  <c:v>25.81</c:v>
                </c:pt>
                <c:pt idx="9">
                  <c:v>22.41</c:v>
                </c:pt>
                <c:pt idx="10">
                  <c:v>18.989999999999998</c:v>
                </c:pt>
                <c:pt idx="11">
                  <c:v>15.74</c:v>
                </c:pt>
                <c:pt idx="12">
                  <c:v>12.45</c:v>
                </c:pt>
                <c:pt idx="13">
                  <c:v>9.31</c:v>
                </c:pt>
                <c:pt idx="14">
                  <c:v>6.75</c:v>
                </c:pt>
                <c:pt idx="15">
                  <c:v>4.51</c:v>
                </c:pt>
                <c:pt idx="16">
                  <c:v>2.72</c:v>
                </c:pt>
                <c:pt idx="17">
                  <c:v>1.45</c:v>
                </c:pt>
                <c:pt idx="18">
                  <c:v>0.43</c:v>
                </c:pt>
                <c:pt idx="19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4-4DCF-A983-A69DFB918332}"/>
            </c:ext>
          </c:extLst>
        </c:ser>
        <c:ser>
          <c:idx val="1"/>
          <c:order val="1"/>
          <c:tx>
            <c:v>Ud理论值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数据处理!$B$2:$B$21</c:f>
              <c:numCache>
                <c:formatCode>0.0</c:formatCode>
                <c:ptCount val="20"/>
                <c:pt idx="0">
                  <c:v>14.4</c:v>
                </c:pt>
                <c:pt idx="1">
                  <c:v>18</c:v>
                </c:pt>
                <c:pt idx="2">
                  <c:v>27</c:v>
                </c:pt>
                <c:pt idx="3">
                  <c:v>36</c:v>
                </c:pt>
                <c:pt idx="4">
                  <c:v>45</c:v>
                </c:pt>
                <c:pt idx="5">
                  <c:v>54</c:v>
                </c:pt>
                <c:pt idx="6">
                  <c:v>63</c:v>
                </c:pt>
                <c:pt idx="7">
                  <c:v>72</c:v>
                </c:pt>
                <c:pt idx="8">
                  <c:v>81</c:v>
                </c:pt>
                <c:pt idx="9">
                  <c:v>90</c:v>
                </c:pt>
                <c:pt idx="10">
                  <c:v>99</c:v>
                </c:pt>
                <c:pt idx="11">
                  <c:v>108</c:v>
                </c:pt>
                <c:pt idx="12">
                  <c:v>117</c:v>
                </c:pt>
                <c:pt idx="13">
                  <c:v>126</c:v>
                </c:pt>
                <c:pt idx="14">
                  <c:v>135</c:v>
                </c:pt>
                <c:pt idx="15">
                  <c:v>144</c:v>
                </c:pt>
                <c:pt idx="16">
                  <c:v>153</c:v>
                </c:pt>
                <c:pt idx="17">
                  <c:v>162</c:v>
                </c:pt>
                <c:pt idx="18">
                  <c:v>171</c:v>
                </c:pt>
                <c:pt idx="19">
                  <c:v>178.2</c:v>
                </c:pt>
              </c:numCache>
            </c:numRef>
          </c:xVal>
          <c:yVal>
            <c:numRef>
              <c:f>数据处理!$E$2:$E$21</c:f>
              <c:numCache>
                <c:formatCode>0.00</c:formatCode>
                <c:ptCount val="20"/>
                <c:pt idx="0">
                  <c:v>44.337414246519593</c:v>
                </c:pt>
                <c:pt idx="1">
                  <c:v>43.898771616640957</c:v>
                </c:pt>
                <c:pt idx="2">
                  <c:v>42.590194441032516</c:v>
                </c:pt>
                <c:pt idx="3">
                  <c:v>40.743585255809755</c:v>
                </c:pt>
                <c:pt idx="4">
                  <c:v>38.40990257669732</c:v>
                </c:pt>
                <c:pt idx="5">
                  <c:v>35.725168176580645</c:v>
                </c:pt>
                <c:pt idx="6">
                  <c:v>32.747501030383944</c:v>
                </c:pt>
                <c:pt idx="7">
                  <c:v>29.452882373436317</c:v>
                </c:pt>
                <c:pt idx="8">
                  <c:v>26.045795238868603</c:v>
                </c:pt>
                <c:pt idx="9">
                  <c:v>22.477500000000003</c:v>
                </c:pt>
                <c:pt idx="10">
                  <c:v>18.980224536594807</c:v>
                </c:pt>
                <c:pt idx="11">
                  <c:v>15.562664744190249</c:v>
                </c:pt>
                <c:pt idx="12">
                  <c:v>12.297498969616059</c:v>
                </c:pt>
                <c:pt idx="13">
                  <c:v>9.2655569915959379</c:v>
                </c:pt>
                <c:pt idx="14">
                  <c:v>6.5966875207259852</c:v>
                </c:pt>
                <c:pt idx="15">
                  <c:v>4.2971176265636846</c:v>
                </c:pt>
                <c:pt idx="16">
                  <c:v>2.4548055589674864</c:v>
                </c:pt>
                <c:pt idx="17">
                  <c:v>1.1012283833590455</c:v>
                </c:pt>
                <c:pt idx="18">
                  <c:v>0.27728934894601209</c:v>
                </c:pt>
                <c:pt idx="19">
                  <c:v>1.111349416281004E-2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34-4DCF-A983-A69DFB918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触发角</a:t>
                </a:r>
                <a:r>
                  <a:rPr lang="el-GR"/>
                  <a:t>α / °</a:t>
                </a:r>
              </a:p>
            </c:rich>
          </c:tx>
          <c:layout>
            <c:manualLayout>
              <c:xMode val="edge"/>
              <c:yMode val="edge"/>
              <c:x val="0.85570937499999988"/>
              <c:y val="0.8846608024691359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Ud / V</a:t>
                </a:r>
              </a:p>
            </c:rich>
          </c:tx>
          <c:layout>
            <c:manualLayout>
              <c:xMode val="edge"/>
              <c:yMode val="edge"/>
              <c:x val="2.4253472222222221E-2"/>
              <c:y val="0.8433734567901234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Ud</a:t>
            </a:r>
            <a:r>
              <a:rPr lang="zh-CN" altLang="zh-CN" sz="1800" b="0" i="0" baseline="0">
                <a:effectLst/>
              </a:rPr>
              <a:t>实测值</a:t>
            </a:r>
            <a:r>
              <a:rPr lang="zh-CN" altLang="en-US" sz="1800" b="0" i="0" baseline="0">
                <a:effectLst/>
              </a:rPr>
              <a:t>与</a:t>
            </a:r>
            <a:r>
              <a:rPr lang="en-US" altLang="zh-CN" sz="1800" b="0" i="0" baseline="0">
                <a:effectLst/>
              </a:rPr>
              <a:t>cosa</a:t>
            </a:r>
            <a:r>
              <a:rPr lang="zh-CN" altLang="en-US" sz="1800" b="0" i="0" baseline="0">
                <a:effectLst/>
              </a:rPr>
              <a:t>的关系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13604549431321"/>
                  <c:y val="0.5207578740157480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400" b="1" baseline="0"/>
                      <a:t>y = 21.708x + 22.137</a:t>
                    </a:r>
                    <a:br>
                      <a:rPr lang="en-US" altLang="zh-CN" sz="1400" b="1" baseline="0"/>
                    </a:br>
                    <a:r>
                      <a:rPr lang="en-US" altLang="zh-CN" sz="1400" b="1" baseline="0"/>
                      <a:t>R² = 0.9997</a:t>
                    </a:r>
                    <a:endParaRPr lang="en-US" altLang="zh-CN" sz="14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数据处理!$I$2:$I$22</c:f>
              <c:numCache>
                <c:formatCode>General</c:formatCode>
                <c:ptCount val="21"/>
                <c:pt idx="0">
                  <c:v>0.96858316112863108</c:v>
                </c:pt>
                <c:pt idx="1">
                  <c:v>0.95105651629515353</c:v>
                </c:pt>
                <c:pt idx="2">
                  <c:v>0.8910065241883679</c:v>
                </c:pt>
                <c:pt idx="3">
                  <c:v>0.80901699437494745</c:v>
                </c:pt>
                <c:pt idx="4">
                  <c:v>0.70710678118654757</c:v>
                </c:pt>
                <c:pt idx="5">
                  <c:v>0.58778525229247314</c:v>
                </c:pt>
                <c:pt idx="6">
                  <c:v>0.4539904997395468</c:v>
                </c:pt>
                <c:pt idx="7">
                  <c:v>0.30901699437494745</c:v>
                </c:pt>
                <c:pt idx="8">
                  <c:v>0.15643446504023092</c:v>
                </c:pt>
                <c:pt idx="9">
                  <c:v>6.1257422745431001E-17</c:v>
                </c:pt>
                <c:pt idx="10">
                  <c:v>-0.15643446504023081</c:v>
                </c:pt>
                <c:pt idx="11">
                  <c:v>-0.30901699437494734</c:v>
                </c:pt>
                <c:pt idx="12">
                  <c:v>-0.45399049973954669</c:v>
                </c:pt>
                <c:pt idx="13">
                  <c:v>-0.58778525229247303</c:v>
                </c:pt>
                <c:pt idx="14">
                  <c:v>-0.70710678118654746</c:v>
                </c:pt>
                <c:pt idx="15">
                  <c:v>-0.80901699437494734</c:v>
                </c:pt>
                <c:pt idx="16">
                  <c:v>-0.89100652418836779</c:v>
                </c:pt>
                <c:pt idx="17">
                  <c:v>-0.95105651629515353</c:v>
                </c:pt>
                <c:pt idx="18">
                  <c:v>-0.98768834059513766</c:v>
                </c:pt>
                <c:pt idx="19">
                  <c:v>-0.9995065603657316</c:v>
                </c:pt>
              </c:numCache>
            </c:numRef>
          </c:xVal>
          <c:yVal>
            <c:numRef>
              <c:f>数据处理!$D$2:$D$21</c:f>
              <c:numCache>
                <c:formatCode>0.00</c:formatCode>
                <c:ptCount val="20"/>
                <c:pt idx="0">
                  <c:v>42.57</c:v>
                </c:pt>
                <c:pt idx="1">
                  <c:v>42.34</c:v>
                </c:pt>
                <c:pt idx="2">
                  <c:v>41.15</c:v>
                </c:pt>
                <c:pt idx="3">
                  <c:v>39.729999999999997</c:v>
                </c:pt>
                <c:pt idx="4">
                  <c:v>37.700000000000003</c:v>
                </c:pt>
                <c:pt idx="5">
                  <c:v>35.24</c:v>
                </c:pt>
                <c:pt idx="6">
                  <c:v>32.33</c:v>
                </c:pt>
                <c:pt idx="7">
                  <c:v>28.96</c:v>
                </c:pt>
                <c:pt idx="8">
                  <c:v>25.81</c:v>
                </c:pt>
                <c:pt idx="9">
                  <c:v>22.41</c:v>
                </c:pt>
                <c:pt idx="10">
                  <c:v>18.989999999999998</c:v>
                </c:pt>
                <c:pt idx="11">
                  <c:v>15.74</c:v>
                </c:pt>
                <c:pt idx="12">
                  <c:v>12.45</c:v>
                </c:pt>
                <c:pt idx="13">
                  <c:v>9.31</c:v>
                </c:pt>
                <c:pt idx="14">
                  <c:v>6.75</c:v>
                </c:pt>
                <c:pt idx="15">
                  <c:v>4.51</c:v>
                </c:pt>
                <c:pt idx="16">
                  <c:v>2.72</c:v>
                </c:pt>
                <c:pt idx="17">
                  <c:v>1.45</c:v>
                </c:pt>
                <c:pt idx="18">
                  <c:v>0.43</c:v>
                </c:pt>
                <c:pt idx="1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7-4917-8D61-798ABC20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603567"/>
        <c:axId val="1514603983"/>
      </c:scatterChart>
      <c:valAx>
        <c:axId val="1514603567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4603983"/>
        <c:crosses val="autoZero"/>
        <c:crossBetween val="midCat"/>
      </c:valAx>
      <c:valAx>
        <c:axId val="15146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4603567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83820</xdr:colOff>
      <xdr:row>4</xdr:row>
      <xdr:rowOff>22860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373380</xdr:colOff>
      <xdr:row>25</xdr:row>
      <xdr:rowOff>95250</xdr:rowOff>
    </xdr:from>
    <xdr:to>
      <xdr:col>8</xdr:col>
      <xdr:colOff>76200</xdr:colOff>
      <xdr:row>41</xdr:row>
      <xdr:rowOff>34290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5EFADD0-C0E4-4F22-9074-167AFE5E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Y30"/>
  <sheetViews>
    <sheetView topLeftCell="B1" zoomScaleNormal="100" workbookViewId="0">
      <selection activeCell="E11" sqref="E11:O17"/>
    </sheetView>
  </sheetViews>
  <sheetFormatPr defaultRowHeight="13.8" x14ac:dyDescent="0.25"/>
  <cols>
    <col min="5" max="5" width="25.21875" style="5" bestFit="1" customWidth="1"/>
    <col min="6" max="7" width="9.5546875" style="5" bestFit="1" customWidth="1"/>
    <col min="8" max="8" width="13.6640625" style="5" customWidth="1"/>
    <col min="9" max="14" width="6.6640625" style="5" bestFit="1" customWidth="1"/>
    <col min="15" max="15" width="6.5546875" style="5" bestFit="1" customWidth="1"/>
    <col min="16" max="18" width="6.6640625" style="5" bestFit="1" customWidth="1"/>
    <col min="19" max="19" width="5.6640625" style="5" bestFit="1" customWidth="1"/>
    <col min="20" max="25" width="6.6640625" style="5" bestFit="1" customWidth="1"/>
  </cols>
  <sheetData>
    <row r="1" spans="5:15" x14ac:dyDescent="0.25">
      <c r="I1" s="2"/>
    </row>
    <row r="11" spans="5:15" x14ac:dyDescent="0.25">
      <c r="E11" s="3" t="s">
        <v>0</v>
      </c>
      <c r="F11">
        <v>20</v>
      </c>
      <c r="J11" s="1" t="s">
        <v>1</v>
      </c>
      <c r="K11" s="1"/>
      <c r="L11" s="1"/>
      <c r="M11">
        <v>100</v>
      </c>
    </row>
    <row r="12" spans="5:15" ht="15.6" customHeight="1" x14ac:dyDescent="0.25">
      <c r="E12" s="3" t="s">
        <v>2</v>
      </c>
      <c r="F12">
        <v>0.8</v>
      </c>
      <c r="G12">
        <v>1</v>
      </c>
      <c r="H12">
        <v>1.5</v>
      </c>
      <c r="I12">
        <v>2</v>
      </c>
      <c r="J12">
        <v>2.5</v>
      </c>
      <c r="K12">
        <v>3</v>
      </c>
      <c r="L12">
        <v>3.5</v>
      </c>
      <c r="M12">
        <v>4</v>
      </c>
      <c r="N12">
        <v>4.5</v>
      </c>
      <c r="O12">
        <v>5</v>
      </c>
    </row>
    <row r="13" spans="5:15" x14ac:dyDescent="0.25">
      <c r="E13" s="3" t="s">
        <v>3</v>
      </c>
      <c r="F13" s="6">
        <v>100.1</v>
      </c>
      <c r="G13" s="6">
        <v>100</v>
      </c>
      <c r="H13" s="6">
        <v>100.1</v>
      </c>
      <c r="I13" s="6">
        <v>100.1</v>
      </c>
      <c r="J13" s="6">
        <v>100</v>
      </c>
      <c r="K13" s="6">
        <v>100</v>
      </c>
      <c r="L13" s="6">
        <v>100.1</v>
      </c>
      <c r="M13" s="6">
        <v>100</v>
      </c>
      <c r="N13" s="6">
        <v>100.1</v>
      </c>
      <c r="O13" s="6" t="s">
        <v>4</v>
      </c>
    </row>
    <row r="14" spans="5:15" ht="15.6" customHeight="1" x14ac:dyDescent="0.25">
      <c r="E14" s="3" t="s">
        <v>5</v>
      </c>
      <c r="F14" s="7">
        <v>42.57</v>
      </c>
      <c r="G14" s="7">
        <v>42.34</v>
      </c>
      <c r="H14" s="7">
        <v>41.15</v>
      </c>
      <c r="I14" s="7">
        <v>39.729999999999997</v>
      </c>
      <c r="J14" s="7">
        <v>37.700000000000003</v>
      </c>
      <c r="K14" s="7">
        <v>35.24</v>
      </c>
      <c r="L14" s="7">
        <v>32.33</v>
      </c>
      <c r="M14" s="7">
        <v>28.96</v>
      </c>
      <c r="N14" s="7">
        <v>25.81</v>
      </c>
      <c r="O14" s="7">
        <v>22.41</v>
      </c>
    </row>
    <row r="15" spans="5:15" x14ac:dyDescent="0.25">
      <c r="E15" s="3"/>
      <c r="F15">
        <v>5.5</v>
      </c>
      <c r="G15">
        <v>6</v>
      </c>
      <c r="H15">
        <v>6.5</v>
      </c>
      <c r="I15">
        <v>7</v>
      </c>
      <c r="J15">
        <v>7.5</v>
      </c>
      <c r="K15">
        <v>8</v>
      </c>
      <c r="L15">
        <v>8.5</v>
      </c>
      <c r="M15">
        <v>9</v>
      </c>
      <c r="N15">
        <v>9.5</v>
      </c>
      <c r="O15">
        <v>9.9</v>
      </c>
    </row>
    <row r="16" spans="5:15" x14ac:dyDescent="0.25">
      <c r="F16" s="6">
        <v>100</v>
      </c>
      <c r="G16" s="6">
        <v>100.1</v>
      </c>
      <c r="H16" s="6">
        <v>100.1</v>
      </c>
      <c r="I16" s="6">
        <v>99.9</v>
      </c>
      <c r="J16" s="6">
        <v>100.1</v>
      </c>
      <c r="K16" s="6">
        <v>100</v>
      </c>
      <c r="L16" s="6">
        <v>100.1</v>
      </c>
      <c r="M16" s="6">
        <v>100</v>
      </c>
      <c r="N16" s="6">
        <v>100.1</v>
      </c>
      <c r="O16" s="6">
        <v>100.1</v>
      </c>
    </row>
    <row r="17" spans="4:15" x14ac:dyDescent="0.25">
      <c r="F17" s="7">
        <v>18.989999999999998</v>
      </c>
      <c r="G17" s="7">
        <v>15.74</v>
      </c>
      <c r="H17" s="7">
        <v>12.45</v>
      </c>
      <c r="I17" s="7">
        <v>9.31</v>
      </c>
      <c r="J17" s="7">
        <v>6.75</v>
      </c>
      <c r="K17" s="7">
        <v>4.51</v>
      </c>
      <c r="L17" s="7">
        <v>2.72</v>
      </c>
      <c r="M17" s="7">
        <v>1.45</v>
      </c>
      <c r="N17" s="7">
        <v>0.43</v>
      </c>
      <c r="O17" s="7">
        <v>0.04</v>
      </c>
    </row>
    <row r="23" spans="4:15" x14ac:dyDescent="0.25">
      <c r="D23" s="4"/>
    </row>
    <row r="24" spans="4:15" x14ac:dyDescent="0.25">
      <c r="D24" s="4"/>
    </row>
    <row r="25" spans="4:15" x14ac:dyDescent="0.25">
      <c r="D25" s="4"/>
    </row>
    <row r="26" spans="4:15" x14ac:dyDescent="0.25">
      <c r="D26" s="4"/>
    </row>
    <row r="27" spans="4:15" x14ac:dyDescent="0.25">
      <c r="D27" s="4"/>
    </row>
    <row r="28" spans="4:15" x14ac:dyDescent="0.25">
      <c r="D28" s="4"/>
    </row>
    <row r="29" spans="4:15" x14ac:dyDescent="0.25">
      <c r="D29" s="4"/>
    </row>
    <row r="30" spans="4:15" x14ac:dyDescent="0.25">
      <c r="D30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showGridLines="0" tabSelected="1" workbookViewId="0">
      <pane ySplit="1" topLeftCell="A12" activePane="bottomLeft" state="frozen"/>
      <selection pane="bottomLeft" activeCell="K32" sqref="K32"/>
    </sheetView>
  </sheetViews>
  <sheetFormatPr defaultRowHeight="13.8" x14ac:dyDescent="0.25"/>
  <cols>
    <col min="1" max="1" width="14" style="5" customWidth="1"/>
    <col min="2" max="6" width="12" style="5" customWidth="1"/>
    <col min="7" max="7" width="13" style="5" customWidth="1"/>
    <col min="8" max="8" width="10" style="5" customWidth="1"/>
    <col min="9" max="9" width="11.109375" customWidth="1"/>
  </cols>
  <sheetData>
    <row r="1" spans="1:9" x14ac:dyDescent="0.2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</row>
    <row r="2" spans="1:9" x14ac:dyDescent="0.25">
      <c r="A2" s="9">
        <v>0.8</v>
      </c>
      <c r="B2" s="9">
        <f>A2*360/20</f>
        <v>14.4</v>
      </c>
      <c r="C2" s="9">
        <v>100.1</v>
      </c>
      <c r="D2" s="10">
        <v>42.57</v>
      </c>
      <c r="E2" s="10">
        <f>0.225*C2*(1+COS(RADIANS(B2)))</f>
        <v>44.337414246519593</v>
      </c>
      <c r="F2" s="11">
        <f t="shared" ref="F2:F21" si="0">D2-E2</f>
        <v>-1.7674142465195928</v>
      </c>
      <c r="G2" s="11">
        <f>D2-E2</f>
        <v>-1.7674142465195928</v>
      </c>
      <c r="H2" s="12">
        <f t="shared" ref="H2:H21" si="1">D2/C2</f>
        <v>0.42527472527472532</v>
      </c>
      <c r="I2">
        <f>COS(RADIANS(B2))</f>
        <v>0.96858316112863108</v>
      </c>
    </row>
    <row r="3" spans="1:9" x14ac:dyDescent="0.25">
      <c r="A3" s="9">
        <v>1</v>
      </c>
      <c r="B3" s="9">
        <f t="shared" ref="B2:B21" si="2">A3*360/20</f>
        <v>18</v>
      </c>
      <c r="C3" s="9">
        <v>100</v>
      </c>
      <c r="D3" s="10">
        <v>42.34</v>
      </c>
      <c r="E3" s="10">
        <f>0.225*C3*(1+COS(RADIANS(B3)))</f>
        <v>43.898771616640957</v>
      </c>
      <c r="F3" s="11">
        <f t="shared" si="0"/>
        <v>-1.5587716166409535</v>
      </c>
      <c r="G3" s="11">
        <f t="shared" ref="G3:G21" si="3">D3-E3</f>
        <v>-1.5587716166409535</v>
      </c>
      <c r="H3" s="12">
        <f t="shared" si="1"/>
        <v>0.42340000000000005</v>
      </c>
      <c r="I3" s="5">
        <f t="shared" ref="I3:I21" si="4">COS(RADIANS(B3))</f>
        <v>0.95105651629515353</v>
      </c>
    </row>
    <row r="4" spans="1:9" x14ac:dyDescent="0.25">
      <c r="A4" s="9">
        <v>1.5</v>
      </c>
      <c r="B4" s="9">
        <f t="shared" si="2"/>
        <v>27</v>
      </c>
      <c r="C4" s="9">
        <v>100.1</v>
      </c>
      <c r="D4" s="10">
        <v>41.15</v>
      </c>
      <c r="E4" s="10">
        <f t="shared" ref="E2:E21" si="5">0.225*C4*(1+COS(RADIANS(B4)))</f>
        <v>42.590194441032516</v>
      </c>
      <c r="F4" s="11">
        <f t="shared" si="0"/>
        <v>-1.4401944410325171</v>
      </c>
      <c r="G4" s="11">
        <f t="shared" si="3"/>
        <v>-1.4401944410325171</v>
      </c>
      <c r="H4" s="12">
        <f t="shared" si="1"/>
        <v>0.4110889110889111</v>
      </c>
      <c r="I4" s="5">
        <f t="shared" si="4"/>
        <v>0.8910065241883679</v>
      </c>
    </row>
    <row r="5" spans="1:9" x14ac:dyDescent="0.25">
      <c r="A5" s="9">
        <v>2</v>
      </c>
      <c r="B5" s="9">
        <f t="shared" si="2"/>
        <v>36</v>
      </c>
      <c r="C5" s="9">
        <v>100.1</v>
      </c>
      <c r="D5" s="10">
        <v>39.729999999999997</v>
      </c>
      <c r="E5" s="10">
        <f t="shared" si="5"/>
        <v>40.743585255809755</v>
      </c>
      <c r="F5" s="11">
        <f t="shared" si="0"/>
        <v>-1.0135852558097582</v>
      </c>
      <c r="G5" s="11">
        <f t="shared" si="3"/>
        <v>-1.0135852558097582</v>
      </c>
      <c r="H5" s="12">
        <f t="shared" si="1"/>
        <v>0.39690309690309689</v>
      </c>
      <c r="I5" s="5">
        <f t="shared" si="4"/>
        <v>0.80901699437494745</v>
      </c>
    </row>
    <row r="6" spans="1:9" x14ac:dyDescent="0.25">
      <c r="A6" s="9">
        <v>2.5</v>
      </c>
      <c r="B6" s="9">
        <f t="shared" si="2"/>
        <v>45</v>
      </c>
      <c r="C6" s="9">
        <v>100</v>
      </c>
      <c r="D6" s="10">
        <v>37.700000000000003</v>
      </c>
      <c r="E6" s="10">
        <f t="shared" si="5"/>
        <v>38.40990257669732</v>
      </c>
      <c r="F6" s="11">
        <f t="shared" si="0"/>
        <v>-0.70990257669731704</v>
      </c>
      <c r="G6" s="11">
        <f t="shared" si="3"/>
        <v>-0.70990257669731704</v>
      </c>
      <c r="H6" s="12">
        <f t="shared" si="1"/>
        <v>0.377</v>
      </c>
      <c r="I6" s="5">
        <f t="shared" si="4"/>
        <v>0.70710678118654757</v>
      </c>
    </row>
    <row r="7" spans="1:9" x14ac:dyDescent="0.25">
      <c r="A7" s="9">
        <v>3</v>
      </c>
      <c r="B7" s="9">
        <f t="shared" si="2"/>
        <v>54</v>
      </c>
      <c r="C7" s="9">
        <v>100</v>
      </c>
      <c r="D7" s="10">
        <v>35.24</v>
      </c>
      <c r="E7" s="10">
        <f t="shared" si="5"/>
        <v>35.725168176580645</v>
      </c>
      <c r="F7" s="11">
        <f t="shared" si="0"/>
        <v>-0.48516817658064326</v>
      </c>
      <c r="G7" s="11">
        <f t="shared" si="3"/>
        <v>-0.48516817658064326</v>
      </c>
      <c r="H7" s="12">
        <f t="shared" si="1"/>
        <v>0.35240000000000005</v>
      </c>
      <c r="I7" s="5">
        <f t="shared" si="4"/>
        <v>0.58778525229247314</v>
      </c>
    </row>
    <row r="8" spans="1:9" x14ac:dyDescent="0.25">
      <c r="A8" s="9">
        <v>3.5</v>
      </c>
      <c r="B8" s="9">
        <f t="shared" si="2"/>
        <v>63</v>
      </c>
      <c r="C8" s="9">
        <v>100.1</v>
      </c>
      <c r="D8" s="10">
        <v>32.33</v>
      </c>
      <c r="E8" s="10">
        <f t="shared" si="5"/>
        <v>32.747501030383944</v>
      </c>
      <c r="F8" s="11">
        <f t="shared" si="0"/>
        <v>-0.4175010303839457</v>
      </c>
      <c r="G8" s="11">
        <f t="shared" si="3"/>
        <v>-0.4175010303839457</v>
      </c>
      <c r="H8" s="12">
        <f t="shared" si="1"/>
        <v>0.32297702297702297</v>
      </c>
      <c r="I8" s="5">
        <f t="shared" si="4"/>
        <v>0.4539904997395468</v>
      </c>
    </row>
    <row r="9" spans="1:9" x14ac:dyDescent="0.25">
      <c r="A9" s="9">
        <v>4</v>
      </c>
      <c r="B9" s="9">
        <f t="shared" si="2"/>
        <v>72</v>
      </c>
      <c r="C9" s="9">
        <v>100</v>
      </c>
      <c r="D9" s="10">
        <v>28.96</v>
      </c>
      <c r="E9" s="10">
        <f t="shared" si="5"/>
        <v>29.452882373436317</v>
      </c>
      <c r="F9" s="11">
        <f t="shared" si="0"/>
        <v>-0.49288237343631636</v>
      </c>
      <c r="G9" s="11">
        <f t="shared" si="3"/>
        <v>-0.49288237343631636</v>
      </c>
      <c r="H9" s="12">
        <f t="shared" si="1"/>
        <v>0.28960000000000002</v>
      </c>
      <c r="I9" s="5">
        <f t="shared" si="4"/>
        <v>0.30901699437494745</v>
      </c>
    </row>
    <row r="10" spans="1:9" x14ac:dyDescent="0.25">
      <c r="A10" s="9">
        <v>4.5</v>
      </c>
      <c r="B10" s="9">
        <f t="shared" si="2"/>
        <v>81</v>
      </c>
      <c r="C10" s="9">
        <v>100.1</v>
      </c>
      <c r="D10" s="10">
        <v>25.81</v>
      </c>
      <c r="E10" s="10">
        <f t="shared" si="5"/>
        <v>26.045795238868603</v>
      </c>
      <c r="F10" s="11">
        <f t="shared" si="0"/>
        <v>-0.23579523886860443</v>
      </c>
      <c r="G10" s="11">
        <f t="shared" si="3"/>
        <v>-0.23579523886860443</v>
      </c>
      <c r="H10" s="12">
        <f t="shared" si="1"/>
        <v>0.25784215784215786</v>
      </c>
      <c r="I10" s="5">
        <f t="shared" si="4"/>
        <v>0.15643446504023092</v>
      </c>
    </row>
    <row r="11" spans="1:9" x14ac:dyDescent="0.25">
      <c r="A11" s="9">
        <v>5</v>
      </c>
      <c r="B11" s="9">
        <f t="shared" si="2"/>
        <v>90</v>
      </c>
      <c r="C11" s="9">
        <v>99.9</v>
      </c>
      <c r="D11" s="10">
        <v>22.41</v>
      </c>
      <c r="E11" s="10">
        <f t="shared" si="5"/>
        <v>22.477500000000003</v>
      </c>
      <c r="F11" s="11">
        <f t="shared" si="0"/>
        <v>-6.7500000000002558E-2</v>
      </c>
      <c r="G11" s="11">
        <f t="shared" si="3"/>
        <v>-6.7500000000002558E-2</v>
      </c>
      <c r="H11" s="12">
        <f t="shared" si="1"/>
        <v>0.22432432432432431</v>
      </c>
      <c r="I11" s="5">
        <f>COS(RADIANS(B11))</f>
        <v>6.1257422745431001E-17</v>
      </c>
    </row>
    <row r="12" spans="1:9" x14ac:dyDescent="0.25">
      <c r="A12" s="9">
        <v>5.5</v>
      </c>
      <c r="B12" s="9">
        <f t="shared" si="2"/>
        <v>99</v>
      </c>
      <c r="C12" s="9">
        <v>100</v>
      </c>
      <c r="D12" s="10">
        <v>18.989999999999998</v>
      </c>
      <c r="E12" s="10">
        <f t="shared" si="5"/>
        <v>18.980224536594807</v>
      </c>
      <c r="F12" s="11">
        <f t="shared" si="0"/>
        <v>9.7754634051909761E-3</v>
      </c>
      <c r="G12" s="11">
        <f t="shared" si="3"/>
        <v>9.7754634051909761E-3</v>
      </c>
      <c r="H12" s="12">
        <f t="shared" si="1"/>
        <v>0.18989999999999999</v>
      </c>
      <c r="I12" s="5">
        <f t="shared" si="4"/>
        <v>-0.15643446504023081</v>
      </c>
    </row>
    <row r="13" spans="1:9" x14ac:dyDescent="0.25">
      <c r="A13" s="9">
        <v>6</v>
      </c>
      <c r="B13" s="9">
        <f t="shared" si="2"/>
        <v>108</v>
      </c>
      <c r="C13" s="9">
        <v>100.1</v>
      </c>
      <c r="D13" s="10">
        <v>15.74</v>
      </c>
      <c r="E13" s="10">
        <f t="shared" si="5"/>
        <v>15.562664744190249</v>
      </c>
      <c r="F13" s="11">
        <f t="shared" si="0"/>
        <v>0.1773352558097514</v>
      </c>
      <c r="G13" s="11">
        <f t="shared" si="3"/>
        <v>0.1773352558097514</v>
      </c>
      <c r="H13" s="12">
        <f t="shared" si="1"/>
        <v>0.15724275724275724</v>
      </c>
      <c r="I13" s="5">
        <f t="shared" si="4"/>
        <v>-0.30901699437494734</v>
      </c>
    </row>
    <row r="14" spans="1:9" x14ac:dyDescent="0.25">
      <c r="A14" s="9">
        <v>6.5</v>
      </c>
      <c r="B14" s="9">
        <f t="shared" si="2"/>
        <v>117</v>
      </c>
      <c r="C14" s="9">
        <v>100.1</v>
      </c>
      <c r="D14" s="10">
        <v>12.45</v>
      </c>
      <c r="E14" s="10">
        <f t="shared" si="5"/>
        <v>12.297498969616059</v>
      </c>
      <c r="F14" s="11">
        <f t="shared" si="0"/>
        <v>0.15250103038393981</v>
      </c>
      <c r="G14" s="11">
        <f t="shared" si="3"/>
        <v>0.15250103038393981</v>
      </c>
      <c r="H14" s="12">
        <f t="shared" si="1"/>
        <v>0.12437562437562437</v>
      </c>
      <c r="I14" s="5">
        <f t="shared" si="4"/>
        <v>-0.45399049973954669</v>
      </c>
    </row>
    <row r="15" spans="1:9" x14ac:dyDescent="0.25">
      <c r="A15" s="9">
        <v>7</v>
      </c>
      <c r="B15" s="9">
        <f t="shared" si="2"/>
        <v>126</v>
      </c>
      <c r="C15" s="9">
        <v>99.9</v>
      </c>
      <c r="D15" s="10">
        <v>9.31</v>
      </c>
      <c r="E15" s="10">
        <f t="shared" si="5"/>
        <v>9.2655569915959379</v>
      </c>
      <c r="F15" s="11">
        <f t="shared" si="0"/>
        <v>4.4443008404062567E-2</v>
      </c>
      <c r="G15" s="11">
        <f t="shared" si="3"/>
        <v>4.4443008404062567E-2</v>
      </c>
      <c r="H15" s="12">
        <f t="shared" si="1"/>
        <v>9.3193193193193191E-2</v>
      </c>
      <c r="I15" s="5">
        <f t="shared" si="4"/>
        <v>-0.58778525229247303</v>
      </c>
    </row>
    <row r="16" spans="1:9" x14ac:dyDescent="0.25">
      <c r="A16" s="9">
        <v>7.5</v>
      </c>
      <c r="B16" s="9">
        <f t="shared" si="2"/>
        <v>135</v>
      </c>
      <c r="C16" s="9">
        <v>100.1</v>
      </c>
      <c r="D16" s="10">
        <v>6.75</v>
      </c>
      <c r="E16" s="10">
        <f t="shared" si="5"/>
        <v>6.5966875207259852</v>
      </c>
      <c r="F16" s="11">
        <f t="shared" si="0"/>
        <v>0.15331247927401481</v>
      </c>
      <c r="G16" s="11">
        <f t="shared" si="3"/>
        <v>0.15331247927401481</v>
      </c>
      <c r="H16" s="12">
        <f t="shared" si="1"/>
        <v>6.7432567432567439E-2</v>
      </c>
      <c r="I16" s="5">
        <f t="shared" si="4"/>
        <v>-0.70710678118654746</v>
      </c>
    </row>
    <row r="17" spans="1:9" x14ac:dyDescent="0.25">
      <c r="A17" s="9">
        <v>8</v>
      </c>
      <c r="B17" s="9">
        <f t="shared" si="2"/>
        <v>144</v>
      </c>
      <c r="C17" s="9">
        <v>100</v>
      </c>
      <c r="D17" s="10">
        <v>4.51</v>
      </c>
      <c r="E17" s="10">
        <f t="shared" si="5"/>
        <v>4.2971176265636846</v>
      </c>
      <c r="F17" s="11">
        <f t="shared" si="0"/>
        <v>0.21288237343631522</v>
      </c>
      <c r="G17" s="11">
        <f t="shared" si="3"/>
        <v>0.21288237343631522</v>
      </c>
      <c r="H17" s="12">
        <f t="shared" si="1"/>
        <v>4.5100000000000001E-2</v>
      </c>
      <c r="I17" s="5">
        <f t="shared" si="4"/>
        <v>-0.80901699437494734</v>
      </c>
    </row>
    <row r="18" spans="1:9" x14ac:dyDescent="0.25">
      <c r="A18" s="9">
        <v>8.5</v>
      </c>
      <c r="B18" s="9">
        <f t="shared" si="2"/>
        <v>153</v>
      </c>
      <c r="C18" s="9">
        <v>100.1</v>
      </c>
      <c r="D18" s="10">
        <v>2.72</v>
      </c>
      <c r="E18" s="10">
        <f t="shared" si="5"/>
        <v>2.4548055589674864</v>
      </c>
      <c r="F18" s="11">
        <f t="shared" si="0"/>
        <v>0.26519444103251377</v>
      </c>
      <c r="G18" s="11">
        <f t="shared" si="3"/>
        <v>0.26519444103251377</v>
      </c>
      <c r="H18" s="12">
        <f t="shared" si="1"/>
        <v>2.7172827172827176E-2</v>
      </c>
      <c r="I18" s="5">
        <f t="shared" si="4"/>
        <v>-0.89100652418836779</v>
      </c>
    </row>
    <row r="19" spans="1:9" x14ac:dyDescent="0.25">
      <c r="A19" s="9">
        <v>9</v>
      </c>
      <c r="B19" s="9">
        <f t="shared" si="2"/>
        <v>162</v>
      </c>
      <c r="C19" s="9">
        <v>100</v>
      </c>
      <c r="D19" s="10">
        <v>1.45</v>
      </c>
      <c r="E19" s="10">
        <f t="shared" si="5"/>
        <v>1.1012283833590455</v>
      </c>
      <c r="F19" s="11">
        <f t="shared" si="0"/>
        <v>0.34877161664095446</v>
      </c>
      <c r="G19" s="11">
        <f t="shared" si="3"/>
        <v>0.34877161664095446</v>
      </c>
      <c r="H19" s="12">
        <f t="shared" si="1"/>
        <v>1.4499999999999999E-2</v>
      </c>
      <c r="I19" s="5">
        <f t="shared" si="4"/>
        <v>-0.95105651629515353</v>
      </c>
    </row>
    <row r="20" spans="1:9" x14ac:dyDescent="0.25">
      <c r="A20" s="9">
        <v>9.5</v>
      </c>
      <c r="B20" s="9">
        <f t="shared" si="2"/>
        <v>171</v>
      </c>
      <c r="C20" s="9">
        <v>100.1</v>
      </c>
      <c r="D20" s="10">
        <v>0.43</v>
      </c>
      <c r="E20" s="10">
        <f t="shared" si="5"/>
        <v>0.27728934894601209</v>
      </c>
      <c r="F20" s="11">
        <f t="shared" si="0"/>
        <v>0.1527106510539879</v>
      </c>
      <c r="G20" s="11">
        <f t="shared" si="3"/>
        <v>0.1527106510539879</v>
      </c>
      <c r="H20" s="12">
        <f t="shared" si="1"/>
        <v>4.2957042957042961E-3</v>
      </c>
      <c r="I20" s="5">
        <f t="shared" si="4"/>
        <v>-0.98768834059513766</v>
      </c>
    </row>
    <row r="21" spans="1:9" x14ac:dyDescent="0.25">
      <c r="A21" s="9">
        <v>9.9</v>
      </c>
      <c r="B21" s="9">
        <f t="shared" si="2"/>
        <v>178.2</v>
      </c>
      <c r="C21" s="9">
        <v>100.1</v>
      </c>
      <c r="D21" s="10">
        <v>0.04</v>
      </c>
      <c r="E21" s="10">
        <f t="shared" si="5"/>
        <v>1.111349416281004E-2</v>
      </c>
      <c r="F21" s="11">
        <f t="shared" si="0"/>
        <v>2.8886505837189963E-2</v>
      </c>
      <c r="G21" s="11">
        <f t="shared" si="3"/>
        <v>2.8886505837189963E-2</v>
      </c>
      <c r="H21" s="12">
        <f t="shared" si="1"/>
        <v>3.9960039960039965E-4</v>
      </c>
      <c r="I21" s="5">
        <f t="shared" si="4"/>
        <v>-0.9995065603657316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数据处理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qing</dc:creator>
  <cp:lastModifiedBy>liu qing</cp:lastModifiedBy>
  <dcterms:created xsi:type="dcterms:W3CDTF">2015-06-05T18:19:34Z</dcterms:created>
  <dcterms:modified xsi:type="dcterms:W3CDTF">2026-05-17T13:27:48Z</dcterms:modified>
</cp:coreProperties>
</file>