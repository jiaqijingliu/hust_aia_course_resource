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GITHUB_Repo\hust_aia_course_resourse\电力电子与运动控制实验\仿真实验\"/>
    </mc:Choice>
  </mc:AlternateContent>
  <xr:revisionPtr revIDLastSave="0" documentId="13_ncr:1_{DDAB5EBE-E1D5-47AD-85BD-5586F9049B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1" l="1"/>
  <c r="H16" i="1"/>
  <c r="I16" i="1"/>
  <c r="J16" i="1"/>
  <c r="K16" i="1"/>
  <c r="L16" i="1"/>
  <c r="M16" i="1"/>
  <c r="N16" i="1"/>
  <c r="O16" i="1"/>
  <c r="P16" i="1"/>
  <c r="F16" i="1"/>
  <c r="G23" i="1"/>
  <c r="H23" i="1"/>
  <c r="I23" i="1"/>
  <c r="J23" i="1"/>
  <c r="K23" i="1"/>
  <c r="L23" i="1"/>
  <c r="M23" i="1"/>
  <c r="N23" i="1"/>
  <c r="O23" i="1"/>
  <c r="P23" i="1"/>
  <c r="F23" i="1"/>
</calcChain>
</file>

<file path=xl/sharedStrings.xml><?xml version="1.0" encoding="utf-8"?>
<sst xmlns="http://schemas.openxmlformats.org/spreadsheetml/2006/main" count="20" uniqueCount="15">
  <si>
    <t>数据记录表1，调频，研究fo=f(fr)</t>
  </si>
  <si>
    <t>H桥直流母线电压Ud(固定)= 200.0 (V)</t>
  </si>
  <si>
    <t>正弦频率(给定)fr（Hz）</t>
  </si>
  <si>
    <t>负载(电阻)电压的频率fo(Hz)</t>
  </si>
  <si>
    <t>数据记录表2,调压，研究Uo=f(m)</t>
  </si>
  <si>
    <t>正弦信号频率fr(固定)= 50.0 (Hz)</t>
  </si>
  <si>
    <t>调制比m</t>
  </si>
  <si>
    <t>负载(电阻)电压uo(V)</t>
  </si>
  <si>
    <t>数据记录表3,调压，研究Uo=f(Ud)</t>
  </si>
  <si>
    <t>UDC(给定) (V)</t>
  </si>
  <si>
    <t>调制比取1</t>
    <phoneticPr fontId="2" type="noConversion"/>
  </si>
  <si>
    <t>Ud取200</t>
    <phoneticPr fontId="2" type="noConversion"/>
  </si>
  <si>
    <t>峰值</t>
    <phoneticPr fontId="2" type="noConversion"/>
  </si>
  <si>
    <t>有效值</t>
    <phoneticPr fontId="2" type="noConversion"/>
  </si>
  <si>
    <t>理论值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</si>
</sst>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_ "/>
  </numFmts>
  <fonts count="4" x14ac:knownFonts="1"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180" fontId="1" fillId="0" borderId="0" xfId="0" applyNumberFormat="1" applyFont="1"/>
    <xf numFmtId="180" fontId="0" fillId="0" borderId="0" xfId="0" applyNumberFormat="1"/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R23"/>
  <sheetViews>
    <sheetView tabSelected="1" workbookViewId="0">
      <selection activeCell="K5" sqref="K5"/>
    </sheetView>
  </sheetViews>
  <sheetFormatPr defaultRowHeight="15.6" x14ac:dyDescent="0.3"/>
  <cols>
    <col min="5" max="5" width="40.33203125" style="1" bestFit="1" customWidth="1"/>
    <col min="6" max="11" width="7.44140625" style="3" bestFit="1" customWidth="1"/>
    <col min="12" max="16" width="7.44140625" style="4" bestFit="1" customWidth="1"/>
    <col min="17" max="17" width="6.21875" style="4" bestFit="1" customWidth="1"/>
  </cols>
  <sheetData>
    <row r="6" spans="5:18" x14ac:dyDescent="0.3">
      <c r="E6" s="2" t="s"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5:18" x14ac:dyDescent="0.3">
      <c r="E7" s="1" t="s">
        <v>1</v>
      </c>
    </row>
    <row r="8" spans="5:18" x14ac:dyDescent="0.3">
      <c r="E8" s="1" t="s">
        <v>2</v>
      </c>
      <c r="F8" s="3">
        <v>5</v>
      </c>
      <c r="G8" s="3">
        <v>10</v>
      </c>
      <c r="H8" s="3">
        <v>15</v>
      </c>
      <c r="I8" s="3">
        <v>20</v>
      </c>
      <c r="J8" s="3">
        <v>25</v>
      </c>
      <c r="K8" s="3">
        <v>30</v>
      </c>
      <c r="L8" s="3">
        <v>35</v>
      </c>
      <c r="M8" s="3">
        <v>40</v>
      </c>
      <c r="N8" s="3">
        <v>45</v>
      </c>
      <c r="O8" s="3">
        <v>50</v>
      </c>
      <c r="P8" s="3">
        <v>55</v>
      </c>
      <c r="Q8" s="3">
        <v>60</v>
      </c>
    </row>
    <row r="9" spans="5:18" x14ac:dyDescent="0.3">
      <c r="E9" s="1" t="s">
        <v>3</v>
      </c>
      <c r="F9" s="3">
        <v>5</v>
      </c>
      <c r="G9" s="3">
        <v>10</v>
      </c>
      <c r="H9" s="3">
        <v>15</v>
      </c>
      <c r="I9" s="3">
        <v>20</v>
      </c>
      <c r="J9" s="3">
        <v>25</v>
      </c>
      <c r="K9" s="3">
        <v>30</v>
      </c>
      <c r="L9" s="4">
        <v>35</v>
      </c>
      <c r="M9" s="4">
        <v>40</v>
      </c>
      <c r="N9" s="4">
        <v>45</v>
      </c>
      <c r="O9" s="4">
        <v>50</v>
      </c>
      <c r="P9" s="4">
        <v>55</v>
      </c>
      <c r="Q9" s="4">
        <v>60</v>
      </c>
    </row>
    <row r="11" spans="5:18" x14ac:dyDescent="0.3">
      <c r="E11" s="2" t="s">
        <v>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5:18" x14ac:dyDescent="0.3">
      <c r="E12" s="1" t="s">
        <v>5</v>
      </c>
      <c r="F12" s="3" t="s">
        <v>11</v>
      </c>
    </row>
    <row r="13" spans="5:18" x14ac:dyDescent="0.3">
      <c r="E13" s="1" t="s">
        <v>6</v>
      </c>
      <c r="F13" s="3">
        <v>0</v>
      </c>
      <c r="G13" s="3">
        <v>0.1</v>
      </c>
      <c r="H13" s="3">
        <v>0.2</v>
      </c>
      <c r="I13" s="3">
        <v>0.3</v>
      </c>
      <c r="J13" s="3">
        <v>0.4</v>
      </c>
      <c r="K13" s="3">
        <v>0.5</v>
      </c>
      <c r="L13" s="3">
        <v>0.6</v>
      </c>
      <c r="M13" s="3">
        <v>0.7</v>
      </c>
      <c r="N13" s="3">
        <v>0.8</v>
      </c>
      <c r="O13" s="3">
        <v>0.9</v>
      </c>
      <c r="P13" s="3">
        <v>1</v>
      </c>
    </row>
    <row r="14" spans="5:18" x14ac:dyDescent="0.3">
      <c r="E14" s="1" t="s">
        <v>7</v>
      </c>
      <c r="F14" s="3">
        <v>0</v>
      </c>
      <c r="G14" s="3">
        <v>6.3390000000000004</v>
      </c>
      <c r="H14" s="3">
        <v>14.4</v>
      </c>
      <c r="I14" s="3">
        <v>24.8</v>
      </c>
      <c r="J14" s="3">
        <v>33.44</v>
      </c>
      <c r="K14" s="3">
        <v>45.06</v>
      </c>
      <c r="L14" s="4">
        <v>53.67</v>
      </c>
      <c r="M14" s="4">
        <v>65.319999999999993</v>
      </c>
      <c r="N14" s="4">
        <v>74.040000000000006</v>
      </c>
      <c r="O14" s="4">
        <v>85.34</v>
      </c>
      <c r="P14" s="4">
        <v>94.049000000000007</v>
      </c>
      <c r="R14" t="s">
        <v>12</v>
      </c>
    </row>
    <row r="15" spans="5:18" x14ac:dyDescent="0.3">
      <c r="F15" s="3">
        <v>0</v>
      </c>
      <c r="G15" s="3">
        <v>3.65</v>
      </c>
      <c r="H15" s="3">
        <v>9.9969999999999999</v>
      </c>
      <c r="I15" s="3">
        <v>17.63</v>
      </c>
      <c r="J15" s="3">
        <v>24.27</v>
      </c>
      <c r="K15" s="3">
        <v>31.77</v>
      </c>
      <c r="L15" s="4">
        <v>38.49</v>
      </c>
      <c r="M15" s="4">
        <v>45.91</v>
      </c>
      <c r="N15" s="4">
        <v>52.68</v>
      </c>
      <c r="O15" s="4">
        <v>60.09</v>
      </c>
      <c r="P15" s="4">
        <v>66.86</v>
      </c>
      <c r="R15" t="s">
        <v>13</v>
      </c>
    </row>
    <row r="16" spans="5:18" x14ac:dyDescent="0.3">
      <c r="F16" s="3">
        <f>100*F13/SQRT(2)</f>
        <v>0</v>
      </c>
      <c r="G16" s="3">
        <f t="shared" ref="G16:Q16" si="0">100*G13/SQRT(2)</f>
        <v>7.0710678118654746</v>
      </c>
      <c r="H16" s="3">
        <f t="shared" si="0"/>
        <v>14.142135623730949</v>
      </c>
      <c r="I16" s="3">
        <f t="shared" si="0"/>
        <v>21.213203435596423</v>
      </c>
      <c r="J16" s="3">
        <f t="shared" si="0"/>
        <v>28.284271247461898</v>
      </c>
      <c r="K16" s="3">
        <f t="shared" si="0"/>
        <v>35.35533905932737</v>
      </c>
      <c r="L16" s="3">
        <f t="shared" si="0"/>
        <v>42.426406871192846</v>
      </c>
      <c r="M16" s="3">
        <f t="shared" si="0"/>
        <v>49.497474683058321</v>
      </c>
      <c r="N16" s="3">
        <f t="shared" si="0"/>
        <v>56.568542494923797</v>
      </c>
      <c r="O16" s="3">
        <f t="shared" si="0"/>
        <v>63.639610306789272</v>
      </c>
      <c r="P16" s="3">
        <f t="shared" si="0"/>
        <v>70.710678118654741</v>
      </c>
      <c r="Q16" s="3"/>
      <c r="R16" t="s">
        <v>14</v>
      </c>
    </row>
    <row r="18" spans="5:18" x14ac:dyDescent="0.25">
      <c r="E18" s="5" t="s">
        <v>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5:18" x14ac:dyDescent="0.3">
      <c r="E19" s="1" t="s">
        <v>5</v>
      </c>
      <c r="F19" s="3" t="s">
        <v>10</v>
      </c>
    </row>
    <row r="20" spans="5:18" x14ac:dyDescent="0.3">
      <c r="E20" s="1" t="s">
        <v>9</v>
      </c>
      <c r="F20" s="3">
        <v>100</v>
      </c>
      <c r="G20" s="3">
        <v>110</v>
      </c>
      <c r="H20" s="3">
        <v>120</v>
      </c>
      <c r="I20" s="3">
        <v>130</v>
      </c>
      <c r="J20" s="3">
        <v>140</v>
      </c>
      <c r="K20" s="3">
        <v>150</v>
      </c>
      <c r="L20" s="3">
        <v>160</v>
      </c>
      <c r="M20" s="3">
        <v>170</v>
      </c>
      <c r="N20" s="3">
        <v>180</v>
      </c>
      <c r="O20" s="3">
        <v>190</v>
      </c>
      <c r="P20" s="3">
        <v>200</v>
      </c>
    </row>
    <row r="21" spans="5:18" x14ac:dyDescent="0.3">
      <c r="E21" s="1" t="s">
        <v>7</v>
      </c>
      <c r="F21" s="3">
        <v>47.02</v>
      </c>
      <c r="G21" s="3">
        <v>51.73</v>
      </c>
      <c r="H21" s="3">
        <v>56.43</v>
      </c>
      <c r="I21" s="3">
        <v>61.13</v>
      </c>
      <c r="J21" s="3">
        <v>65.83</v>
      </c>
      <c r="K21" s="3">
        <v>70.540000000000006</v>
      </c>
      <c r="L21" s="4">
        <v>75.239999999999995</v>
      </c>
      <c r="M21" s="4">
        <v>79.94</v>
      </c>
      <c r="N21" s="4">
        <v>84.64</v>
      </c>
      <c r="O21" s="4">
        <v>89.35</v>
      </c>
      <c r="P21" s="4">
        <v>94.05</v>
      </c>
      <c r="R21" t="s">
        <v>12</v>
      </c>
    </row>
    <row r="22" spans="5:18" x14ac:dyDescent="0.3">
      <c r="F22" s="3">
        <v>33.43</v>
      </c>
      <c r="G22" s="3">
        <v>36.770000000000003</v>
      </c>
      <c r="H22" s="3">
        <v>40.11</v>
      </c>
      <c r="I22" s="3">
        <v>43.46</v>
      </c>
      <c r="J22" s="3">
        <v>46.8</v>
      </c>
      <c r="K22" s="3">
        <v>50.14</v>
      </c>
      <c r="L22" s="4">
        <v>53.48</v>
      </c>
      <c r="M22" s="4">
        <v>56.83</v>
      </c>
      <c r="N22" s="4">
        <v>60.17</v>
      </c>
      <c r="O22" s="4">
        <v>63.51</v>
      </c>
      <c r="P22" s="4">
        <v>66.86</v>
      </c>
      <c r="R22" t="s">
        <v>13</v>
      </c>
    </row>
    <row r="23" spans="5:18" x14ac:dyDescent="0.3">
      <c r="F23" s="3">
        <f>F20/2/SQRT(2)</f>
        <v>35.35533905932737</v>
      </c>
      <c r="G23" s="3">
        <f t="shared" ref="G23:P23" si="1">G20/2/SQRT(2)</f>
        <v>38.890872965260108</v>
      </c>
      <c r="H23" s="3">
        <f t="shared" si="1"/>
        <v>42.426406871192846</v>
      </c>
      <c r="I23" s="3">
        <f t="shared" si="1"/>
        <v>45.961940777125584</v>
      </c>
      <c r="J23" s="3">
        <f t="shared" si="1"/>
        <v>49.497474683058321</v>
      </c>
      <c r="K23" s="3">
        <f t="shared" si="1"/>
        <v>53.033008588991059</v>
      </c>
      <c r="L23" s="3">
        <f t="shared" si="1"/>
        <v>56.568542494923797</v>
      </c>
      <c r="M23" s="3">
        <f t="shared" si="1"/>
        <v>60.104076400856535</v>
      </c>
      <c r="N23" s="3">
        <f t="shared" si="1"/>
        <v>63.639610306789272</v>
      </c>
      <c r="O23" s="3">
        <f t="shared" si="1"/>
        <v>67.175144212722017</v>
      </c>
      <c r="P23" s="3">
        <f t="shared" si="1"/>
        <v>70.710678118654741</v>
      </c>
      <c r="R23" t="s">
        <v>14</v>
      </c>
    </row>
  </sheetData>
  <mergeCells count="3">
    <mergeCell ref="E6:Q6"/>
    <mergeCell ref="E11:P11"/>
    <mergeCell ref="E18:R1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qing</dc:creator>
  <cp:lastModifiedBy>liu qing</cp:lastModifiedBy>
  <dcterms:created xsi:type="dcterms:W3CDTF">2015-06-05T18:19:34Z</dcterms:created>
  <dcterms:modified xsi:type="dcterms:W3CDTF">2026-06-02T10:15:09Z</dcterms:modified>
</cp:coreProperties>
</file>